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2f14b7dfa43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лассы" sheetId="1" r:id="Rd8cc1d60da3b4d42"/>
    <x:sheet xmlns:r="http://schemas.openxmlformats.org/officeDocument/2006/relationships" name="Блоки_уровень2" sheetId="2" r:id="R8ef757e287be48ec"/>
    <x:sheet xmlns:r="http://schemas.openxmlformats.org/officeDocument/2006/relationships" name="Рубрики_уровень3" sheetId="3" r:id="Rf38e160d052040d0"/>
    <x:sheet xmlns:r="http://schemas.openxmlformats.org/officeDocument/2006/relationships" name="Методика" sheetId="4" r:id="Rb73628b7199d40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"/>
  </x:numFmts>
  <x:fonts count="7">
    <x:font>
      <x:sz val="11"/>
      <x:name val="Carlito"/>
    </x:font>
    <x:font>
      <x:b/>
      <x:sz val="10"/>
      <x:color rgb="FFFFFFFF"/>
      <x:name val="Carlito"/>
    </x:font>
    <x:font>
      <x:sz val="9"/>
      <x:color rgb="FF26344F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23437B"/>
      <x:name val="Carlito"/>
    </x:font>
    <x:font>
      <x:b/>
      <x:sz val="11"/>
      <x:color rgb="FF805B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A66"/>
      </x:patternFill>
    </x:fill>
    <x:fill>
      <x:patternFill patternType="solid">
        <x:fgColor rgb="FF356AE6"/>
      </x:patternFill>
    </x:fill>
    <x:fill>
      <x:patternFill patternType="solid">
        <x:fgColor rgb="FFEEF3FF"/>
      </x:patternFill>
    </x:fill>
    <x:fill>
      <x:patternFill patternType="solid">
        <x:fgColor rgb="FFFFF3D6"/>
      </x:patternFill>
    </x:fill>
  </x:fills>
  <x:borders count="14">
    <x:border/>
    <x:border/>
    <x:border>
      <x:left style="thin">
        <x:color rgb="FF173A59"/>
      </x:left>
      <x:top style="thin">
        <x:color rgb="FF173A59"/>
      </x:top>
      <x:bottom style="thin">
        <x:color rgb="FF173A59"/>
      </x:bottom>
    </x:border>
    <x:border>
      <x:top style="thin">
        <x:color rgb="FF173A59"/>
      </x:top>
      <x:bottom style="thin">
        <x:color rgb="FF173A59"/>
      </x:bottom>
    </x:border>
    <x:border>
      <x:right style="thin">
        <x:color rgb="FF173A59"/>
      </x:right>
      <x:top style="thin">
        <x:color rgb="FF173A59"/>
      </x:top>
      <x:bottom style="thin">
        <x:color rgb="FF173A59"/>
      </x:bottom>
    </x:border>
    <x:border>
      <x:left style="thin">
        <x:color rgb="FF173A59"/>
      </x:left>
      <x:top style="thin">
        <x:color rgb="FF173A59"/>
      </x:top>
      <x:bottom style="thin">
        <x:color rgb="FF173A59"/>
      </x:bottom>
    </x:border>
    <x:border>
      <x:top style="thin">
        <x:color rgb="FF173A59"/>
      </x:top>
      <x:bottom style="thin">
        <x:color rgb="FF173A59"/>
      </x:bottom>
    </x:border>
    <x:border>
      <x:right style="thin">
        <x:color rgb="FF173A59"/>
      </x:right>
      <x:top style="thin">
        <x:color rgb="FF173A59"/>
      </x:top>
      <x:bottom style="thin">
        <x:color rgb="FF173A59"/>
      </x:bottom>
    </x:border>
    <x:border>
      <x:bottom style="thin">
        <x:color rgb="FFE5E9F1"/>
      </x:bottom>
    </x:border>
    <x:border>
      <x:top style="thin">
        <x:color rgb="FFE5E9F1"/>
      </x:top>
      <x:bottom style="thin">
        <x:color rgb="FFE5E9F1"/>
      </x:bottom>
    </x:border>
    <x:border>
      <x:top style="thin">
        <x:color rgb="FFE5E9F1"/>
      </x:top>
    </x:border>
    <x:border>
      <x:bottom style="thin">
        <x:color rgb="FFE5E9F1"/>
      </x:bottom>
    </x:border>
    <x:border>
      <x:top style="thin">
        <x:color rgb="FFE5E9F1"/>
      </x:top>
      <x:bottom style="thin">
        <x:color rgb="FFE5E9F1"/>
      </x:bottom>
    </x:border>
    <x:border>
      <x:top style="thin">
        <x:color rgb="FFE5E9F1"/>
      </x:top>
    </x:border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1" fillId="2" borderId="7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200" fontId="2" fillId="0" borderId="10" xfId="0" applyNumberFormat="1" applyFont="1" applyFill="1" applyBorder="1" applyAlignment="1">
      <x:alignment vertical="center"/>
    </x:xf>
    <x:xf numFmtId="200" fontId="2" fillId="0" borderId="11" xfId="0" applyNumberFormat="1" applyFont="1" applyFill="1" applyBorder="1" applyAlignment="1">
      <x:alignment vertical="center"/>
    </x:xf>
    <x:xf numFmtId="200" fontId="2" fillId="0" borderId="12" xfId="0" applyNumberFormat="1" applyFont="1" applyFill="1" applyBorder="1" applyAlignment="1">
      <x:alignment vertical="center"/>
    </x:xf>
    <x:xf numFmtId="200" fontId="2" fillId="0" borderId="13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1" fontId="2" fillId="0" borderId="9" xfId="0" applyNumberFormat="1" applyFont="1" applyFill="1" applyBorder="1" applyAlignment="1">
      <x:alignment vertical="center"/>
    </x:xf>
    <x:xf numFmtId="201" fontId="2" fillId="0" borderId="10" xfId="0" applyNumberFormat="1" applyFont="1" applyFill="1" applyBorder="1" applyAlignment="1">
      <x:alignment vertical="center"/>
    </x:xf>
    <x:xf numFmtId="201" fontId="2" fillId="0" borderId="11" xfId="0" applyNumberFormat="1" applyFont="1" applyFill="1" applyBorder="1" applyAlignment="1">
      <x:alignment vertical="center"/>
    </x:xf>
    <x:xf numFmtId="201" fontId="2" fillId="0" borderId="12" xfId="0" applyNumberFormat="1" applyFont="1" applyFill="1" applyBorder="1" applyAlignment="1">
      <x:alignment vertical="center"/>
    </x:xf>
    <x:xf numFmtId="201" fontId="2" fillId="0" borderId="13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i/>
        <x:color rgb="FF5F6878"/>
      </x:font>
      <x:fill>
        <x:patternFill patternType="solid">
          <x:bgColor rgb="FFE3E7EF"/>
        </x:patternFill>
      </x:fill>
    </x:dxf>
    <x:dxf>
      <x:font>
        <x:i/>
        <x:color rgb="FF5F6878"/>
      </x:font>
      <x:fill>
        <x:patternFill patternType="solid">
          <x:bgColor rgb="FFE3E7EF"/>
        </x:patternFill>
      </x:fill>
    </x:dxf>
    <x:dxf>
      <x:font>
        <x:i/>
        <x:color rgb="FF5F6878"/>
      </x:font>
      <x:fill>
        <x:patternFill patternType="solid">
          <x:bgColor rgb="FFE3E7EF"/>
        </x:patternFill>
      </x:fill>
    </x:dxf>
    <x:dxf>
      <x:font>
        <x:b/>
        <x:color rgb="FF146B4A"/>
      </x:font>
      <x:fill>
        <x:patternFill patternType="solid">
          <x:bgColor rgb="FFDDF4EA"/>
        </x:patternFill>
      </x:fill>
    </x:dxf>
    <x:dxf>
      <x:font>
        <x:b/>
        <x:color rgb="FFA52828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bb67966d534870" /><Relationship Type="http://schemas.openxmlformats.org/officeDocument/2006/relationships/theme" Target="/xl/theme/theme1.xml" Id="Rb33400ef516640bf" /><Relationship Type="http://schemas.openxmlformats.org/officeDocument/2006/relationships/sharedStrings" Target="/xl/sharedStrings.xml" Id="R34b866cf7ad149f8" /><Relationship Type="http://schemas.openxmlformats.org/officeDocument/2006/relationships/worksheet" Target="/xl/worksheets/sheet1.xml" Id="Rd8cc1d60da3b4d42" /><Relationship Type="http://schemas.openxmlformats.org/officeDocument/2006/relationships/worksheet" Target="/xl/worksheets/sheet2.xml" Id="R8ef757e287be48ec" /><Relationship Type="http://schemas.openxmlformats.org/officeDocument/2006/relationships/worksheet" Target="/xl/worksheets/sheet3.xml" Id="Rf38e160d052040d0" /><Relationship Type="http://schemas.openxmlformats.org/officeDocument/2006/relationships/worksheet" Target="/xl/worksheets/sheet4.xml" Id="Rb73628b7199d4026" /></Relationships>
</file>

<file path=xl/tables/table1.xml><?xml version="1.0" encoding="utf-8"?>
<x:table xmlns:x="http://schemas.openxmlformats.org/spreadsheetml/2006/main" id="1" name="ClassAgeSummary" displayName="ClassAgeSummary" ref="A1:L20" headerRowCount="1" totalsRowCount="0" totalsRowShown="0">
  <x:autoFilter ref="A1:L20"/>
  <x:tableColumns count="12">
    <x:tableColumn id="1" name="Класс МКБ-10"/>
    <x:tableColumn id="2" name="n"/>
    <x:tableColumn id="3" name="Медиана возраста"/>
    <x:tableColumn id="4" name="Q1"/>
    <x:tableColumn id="5" name="Q3"/>
    <x:tableColumn id="6" name="Средний возраст"/>
    <x:tableColumn id="7" name="Минимум"/>
    <x:tableColumn id="8" name="Максимум"/>
    <x:tableColumn id="9" name="IQR"/>
    <x:tableColumn id="10" name="n&lt;5"/>
    <x:tableColumn id="11" name="Порядок класса"/>
    <x:tableColumn id="12" name="Краткое назва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lockAgeSummary" displayName="BlockAgeSummary" ref="A1:M152" headerRowCount="1" totalsRowCount="0" totalsRowShown="0">
  <x:autoFilter ref="A1:M152"/>
  <x:tableColumns count="13">
    <x:tableColumn id="1" name="Класс МКБ-10"/>
    <x:tableColumn id="2" name="Код блока"/>
    <x:tableColumn id="3" name="Описание блока"/>
    <x:tableColumn id="4" name="n"/>
    <x:tableColumn id="5" name="Медиана возраста"/>
    <x:tableColumn id="6" name="Q1"/>
    <x:tableColumn id="7" name="Q3"/>
    <x:tableColumn id="8" name="Средний возраст"/>
    <x:tableColumn id="9" name="Минимум"/>
    <x:tableColumn id="10" name="Максимум"/>
    <x:tableColumn id="11" name="IQR"/>
    <x:tableColumn id="12" name="n&lt;5"/>
    <x:tableColumn id="13" name="Порядок класс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cd3AgeSummary" displayName="Icd3AgeSummary" ref="A1:O605" headerRowCount="1" totalsRowCount="0" totalsRowShown="0">
  <x:autoFilter ref="A1:O605"/>
  <x:tableColumns count="15">
    <x:tableColumn id="1" name="Класс МКБ-10"/>
    <x:tableColumn id="2" name="Код блока"/>
    <x:tableColumn id="3" name="Описание блока"/>
    <x:tableColumn id="4" name="Код ICD-3"/>
    <x:tableColumn id="5" name="n"/>
    <x:tableColumn id="6" name="Медиана возраста"/>
    <x:tableColumn id="7" name="Q1"/>
    <x:tableColumn id="8" name="Q3"/>
    <x:tableColumn id="9" name="Средний возраст"/>
    <x:tableColumn id="10" name="Минимум"/>
    <x:tableColumn id="11" name="Максимум"/>
    <x:tableColumn id="12" name="Описание рубрики"/>
    <x:tableColumn id="13" name="IQR"/>
    <x:tableColumn id="14" name="n&lt;5"/>
    <x:tableColumn id="15" name="Порядок класс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0255fbe4384c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859eb4f5da440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8aa5039976549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7" hidden="0" customWidth="1"/>
    <x:col min="4" max="4" width="11" hidden="0" customWidth="1"/>
    <x:col min="5" max="5" width="11" hidden="0" customWidth="1"/>
    <x:col min="6" max="6" width="17" hidden="0" customWidth="1"/>
    <x:col min="7" max="7" width="12" hidden="0" customWidth="1"/>
    <x:col min="8" max="8" width="12" hidden="0" customWidth="1"/>
    <x:col min="9" max="9" width="11" hidden="0" customWidth="1"/>
    <x:col min="10" max="10" width="10" hidden="0" customWidth="1"/>
    <x:col min="11" max="11" width="14" hidden="0" customWidth="1"/>
    <x:col min="12" max="12" width="38" hidden="0" customWidth="1"/>
  </x:cols>
  <x:sheetData>
    <x:row r="1" ht="32" customHeight="1">
      <x:c r="A1" s="18" t="str">
        <x:v>Класс МКБ-10</x:v>
      </x:c>
      <x:c r="B1" s="19" t="str">
        <x:v>n</x:v>
      </x:c>
      <x:c r="C1" s="19" t="str">
        <x:v>Медиана возраста</x:v>
      </x:c>
      <x:c r="D1" s="19" t="str">
        <x:v>Q1</x:v>
      </x:c>
      <x:c r="E1" s="19" t="str">
        <x:v>Q3</x:v>
      </x:c>
      <x:c r="F1" s="19" t="str">
        <x:v>Средний возраст</x:v>
      </x:c>
      <x:c r="G1" s="19" t="str">
        <x:v>Минимум</x:v>
      </x:c>
      <x:c r="H1" s="19" t="str">
        <x:v>Максимум</x:v>
      </x:c>
      <x:c r="I1" s="19" t="str">
        <x:v>IQR</x:v>
      </x:c>
      <x:c r="J1" s="19" t="str">
        <x:v>n&lt;5</x:v>
      </x:c>
      <x:c r="K1" s="19" t="str">
        <x:v>Порядок класса</x:v>
      </x:c>
      <x:c r="L1" s="20" t="str">
        <x:v>Краткое название</x:v>
      </x:c>
    </x:row>
    <x:row r="2">
      <x:c r="A2" s="32" t="str">
        <x:v>I</x:v>
      </x:c>
      <x:c r="B2" s="38" t="n">
        <x:v>730</x:v>
      </x:c>
      <x:c r="C2" s="44" t="n">
        <x:v>47</x:v>
      </x:c>
      <x:c r="D2" s="44" t="n">
        <x:v>38</x:v>
      </x:c>
      <x:c r="E2" s="44" t="n">
        <x:v>59</x:v>
      </x:c>
      <x:c r="F2" s="44" t="n">
        <x:v>48.90547945205479</x:v>
      </x:c>
      <x:c r="G2" s="44" t="n">
        <x:v>0</x:v>
      </x:c>
      <x:c r="H2" s="44" t="n">
        <x:v>97</x:v>
      </x:c>
      <x:c r="I2" s="44" t="n">
        <x:v>21</x:v>
      </x:c>
      <x:c r="J2" s="32" t="str">
        <x:v>False</x:v>
      </x:c>
      <x:c r="K2" s="44" t="n">
        <x:v>1</x:v>
      </x:c>
      <x:c r="L2" s="32" t="str">
        <x:v>Инфекционные болезни</x:v>
      </x:c>
    </x:row>
    <x:row r="3">
      <x:c r="A3" s="33" t="str">
        <x:v>II</x:v>
      </x:c>
      <x:c r="B3" s="39" t="n">
        <x:v>11352</x:v>
      </x:c>
      <x:c r="C3" s="45" t="n">
        <x:v>67</x:v>
      </x:c>
      <x:c r="D3" s="45" t="n">
        <x:v>60</x:v>
      </x:c>
      <x:c r="E3" s="45" t="n">
        <x:v>74</x:v>
      </x:c>
      <x:c r="F3" s="45" t="n">
        <x:v>66.4088266384778</x:v>
      </x:c>
      <x:c r="G3" s="45" t="n">
        <x:v>3</x:v>
      </x:c>
      <x:c r="H3" s="45" t="n">
        <x:v>105</x:v>
      </x:c>
      <x:c r="I3" s="45" t="n">
        <x:v>14</x:v>
      </x:c>
      <x:c r="J3" s="33" t="str">
        <x:v>False</x:v>
      </x:c>
      <x:c r="K3" s="45" t="n">
        <x:v>2</x:v>
      </x:c>
      <x:c r="L3" s="33" t="str">
        <x:v>Новообразования</x:v>
      </x:c>
    </x:row>
    <x:row r="4">
      <x:c r="A4" s="33" t="str">
        <x:v>III</x:v>
      </x:c>
      <x:c r="B4" s="39" t="n">
        <x:v>71</x:v>
      </x:c>
      <x:c r="C4" s="45" t="n">
        <x:v>69</x:v>
      </x:c>
      <x:c r="D4" s="45" t="n">
        <x:v>62</x:v>
      </x:c>
      <x:c r="E4" s="45" t="n">
        <x:v>77</x:v>
      </x:c>
      <x:c r="F4" s="45" t="n">
        <x:v>67.6056338028169</x:v>
      </x:c>
      <x:c r="G4" s="45" t="n">
        <x:v>15</x:v>
      </x:c>
      <x:c r="H4" s="45" t="n">
        <x:v>93</x:v>
      </x:c>
      <x:c r="I4" s="45" t="n">
        <x:v>15</x:v>
      </x:c>
      <x:c r="J4" s="33" t="str">
        <x:v>False</x:v>
      </x:c>
      <x:c r="K4" s="45" t="n">
        <x:v>3</x:v>
      </x:c>
      <x:c r="L4" s="33" t="str">
        <x:v>Кровь и иммунитет</x:v>
      </x:c>
    </x:row>
    <x:row r="5">
      <x:c r="A5" s="33" t="str">
        <x:v>IV</x:v>
      </x:c>
      <x:c r="B5" s="39" t="n">
        <x:v>3183</x:v>
      </x:c>
      <x:c r="C5" s="45" t="n">
        <x:v>72</x:v>
      </x:c>
      <x:c r="D5" s="45" t="n">
        <x:v>66</x:v>
      </x:c>
      <x:c r="E5" s="45" t="n">
        <x:v>79.5</x:v>
      </x:c>
      <x:c r="F5" s="45" t="n">
        <x:v>71.60414703110273</x:v>
      </x:c>
      <x:c r="G5" s="45" t="n">
        <x:v>1</x:v>
      </x:c>
      <x:c r="H5" s="45" t="n">
        <x:v>102</x:v>
      </x:c>
      <x:c r="I5" s="45" t="n">
        <x:v>13.5</x:v>
      </x:c>
      <x:c r="J5" s="33" t="str">
        <x:v>False</x:v>
      </x:c>
      <x:c r="K5" s="45" t="n">
        <x:v>4</x:v>
      </x:c>
      <x:c r="L5" s="33" t="str">
        <x:v>Эндокринные и обмен</x:v>
      </x:c>
    </x:row>
    <x:row r="6">
      <x:c r="A6" s="33" t="str">
        <x:v>V</x:v>
      </x:c>
      <x:c r="B6" s="39" t="n">
        <x:v>405</x:v>
      </x:c>
      <x:c r="C6" s="45" t="n">
        <x:v>76</x:v>
      </x:c>
      <x:c r="D6" s="45" t="n">
        <x:v>64</x:v>
      </x:c>
      <x:c r="E6" s="45" t="n">
        <x:v>84</x:v>
      </x:c>
      <x:c r="F6" s="45" t="n">
        <x:v>73.38271604938272</x:v>
      </x:c>
      <x:c r="G6" s="45" t="n">
        <x:v>22</x:v>
      </x:c>
      <x:c r="H6" s="45" t="n">
        <x:v>99</x:v>
      </x:c>
      <x:c r="I6" s="45" t="n">
        <x:v>20</x:v>
      </x:c>
      <x:c r="J6" s="33" t="str">
        <x:v>False</x:v>
      </x:c>
      <x:c r="K6" s="45" t="n">
        <x:v>5</x:v>
      </x:c>
      <x:c r="L6" s="33" t="str">
        <x:v>Психические расстройства</x:v>
      </x:c>
    </x:row>
    <x:row r="7">
      <x:c r="A7" s="33" t="str">
        <x:v>VI</x:v>
      </x:c>
      <x:c r="B7" s="39" t="n">
        <x:v>5110</x:v>
      </x:c>
      <x:c r="C7" s="45" t="n">
        <x:v>78</x:v>
      </x:c>
      <x:c r="D7" s="45" t="n">
        <x:v>68</x:v>
      </x:c>
      <x:c r="E7" s="45" t="n">
        <x:v>86</x:v>
      </x:c>
      <x:c r="F7" s="45" t="n">
        <x:v>75.46262230919766</x:v>
      </x:c>
      <x:c r="G7" s="45" t="n">
        <x:v>0</x:v>
      </x:c>
      <x:c r="H7" s="45" t="n">
        <x:v>103</x:v>
      </x:c>
      <x:c r="I7" s="45" t="n">
        <x:v>18</x:v>
      </x:c>
      <x:c r="J7" s="33" t="str">
        <x:v>False</x:v>
      </x:c>
      <x:c r="K7" s="45" t="n">
        <x:v>6</x:v>
      </x:c>
      <x:c r="L7" s="33" t="str">
        <x:v>Нервная система</x:v>
      </x:c>
    </x:row>
    <x:row r="8">
      <x:c r="A8" s="33" t="str">
        <x:v>VIII</x:v>
      </x:c>
      <x:c r="B8" s="39" t="n">
        <x:v>10</x:v>
      </x:c>
      <x:c r="C8" s="45" t="n">
        <x:v>57.5</x:v>
      </x:c>
      <x:c r="D8" s="45" t="n">
        <x:v>54.5</x:v>
      </x:c>
      <x:c r="E8" s="45" t="n">
        <x:v>73.25</x:v>
      </x:c>
      <x:c r="F8" s="45" t="n">
        <x:v>58.7</x:v>
      </x:c>
      <x:c r="G8" s="45" t="n">
        <x:v>26</x:v>
      </x:c>
      <x:c r="H8" s="45" t="n">
        <x:v>86</x:v>
      </x:c>
      <x:c r="I8" s="45" t="n">
        <x:v>18.75</x:v>
      </x:c>
      <x:c r="J8" s="33" t="str">
        <x:v>False</x:v>
      </x:c>
      <x:c r="K8" s="45" t="n">
        <x:v>8</x:v>
      </x:c>
      <x:c r="L8" s="33" t="str">
        <x:v>Ухо</x:v>
      </x:c>
    </x:row>
    <x:row r="9">
      <x:c r="A9" s="33" t="str">
        <x:v>IX</x:v>
      </x:c>
      <x:c r="B9" s="39" t="n">
        <x:v>17233</x:v>
      </x:c>
      <x:c r="C9" s="45" t="n">
        <x:v>70</x:v>
      </x:c>
      <x:c r="D9" s="45" t="n">
        <x:v>61</x:v>
      </x:c>
      <x:c r="E9" s="45" t="n">
        <x:v>80</x:v>
      </x:c>
      <x:c r="F9" s="45" t="n">
        <x:v>69.51006789299599</x:v>
      </x:c>
      <x:c r="G9" s="45" t="n">
        <x:v>8</x:v>
      </x:c>
      <x:c r="H9" s="45" t="n">
        <x:v>105</x:v>
      </x:c>
      <x:c r="I9" s="45" t="n">
        <x:v>19</x:v>
      </x:c>
      <x:c r="J9" s="33" t="str">
        <x:v>False</x:v>
      </x:c>
      <x:c r="K9" s="45" t="n">
        <x:v>9</x:v>
      </x:c>
      <x:c r="L9" s="33" t="str">
        <x:v>Кровообращение</x:v>
      </x:c>
    </x:row>
    <x:row r="10">
      <x:c r="A10" s="33" t="str">
        <x:v>X</x:v>
      </x:c>
      <x:c r="B10" s="39" t="n">
        <x:v>4215</x:v>
      </x:c>
      <x:c r="C10" s="45" t="n">
        <x:v>68</x:v>
      </x:c>
      <x:c r="D10" s="45" t="n">
        <x:v>59</x:v>
      </x:c>
      <x:c r="E10" s="45" t="n">
        <x:v>77</x:v>
      </x:c>
      <x:c r="F10" s="45" t="n">
        <x:v>66.91838671411625</x:v>
      </x:c>
      <x:c r="G10" s="45" t="n">
        <x:v>0</x:v>
      </x:c>
      <x:c r="H10" s="45" t="n">
        <x:v>101</x:v>
      </x:c>
      <x:c r="I10" s="45" t="n">
        <x:v>18</x:v>
      </x:c>
      <x:c r="J10" s="33" t="str">
        <x:v>False</x:v>
      </x:c>
      <x:c r="K10" s="45" t="n">
        <x:v>10</x:v>
      </x:c>
      <x:c r="L10" s="33" t="str">
        <x:v>Дыхание</x:v>
      </x:c>
    </x:row>
    <x:row r="11">
      <x:c r="A11" s="33" t="str">
        <x:v>XI</x:v>
      </x:c>
      <x:c r="B11" s="39" t="n">
        <x:v>6883</x:v>
      </x:c>
      <x:c r="C11" s="45" t="n">
        <x:v>62</x:v>
      </x:c>
      <x:c r="D11" s="45" t="n">
        <x:v>51</x:v>
      </x:c>
      <x:c r="E11" s="45" t="n">
        <x:v>72.5</x:v>
      </x:c>
      <x:c r="F11" s="45" t="n">
        <x:v>62.07642016562546</x:v>
      </x:c>
      <x:c r="G11" s="45" t="n">
        <x:v>4</x:v>
      </x:c>
      <x:c r="H11" s="45" t="n">
        <x:v>104</x:v>
      </x:c>
      <x:c r="I11" s="45" t="n">
        <x:v>21.5</x:v>
      </x:c>
      <x:c r="J11" s="33" t="str">
        <x:v>False</x:v>
      </x:c>
      <x:c r="K11" s="45" t="n">
        <x:v>11</x:v>
      </x:c>
      <x:c r="L11" s="33" t="str">
        <x:v>Пищеварение</x:v>
      </x:c>
    </x:row>
    <x:row r="12">
      <x:c r="A12" s="33" t="str">
        <x:v>XII</x:v>
      </x:c>
      <x:c r="B12" s="39" t="n">
        <x:v>154</x:v>
      </x:c>
      <x:c r="C12" s="45" t="n">
        <x:v>67</x:v>
      </x:c>
      <x:c r="D12" s="45" t="n">
        <x:v>53.25</x:v>
      </x:c>
      <x:c r="E12" s="45" t="n">
        <x:v>76</x:v>
      </x:c>
      <x:c r="F12" s="45" t="n">
        <x:v>64.67532467532467</x:v>
      </x:c>
      <x:c r="G12" s="45" t="n">
        <x:v>14</x:v>
      </x:c>
      <x:c r="H12" s="45" t="n">
        <x:v>96</x:v>
      </x:c>
      <x:c r="I12" s="45" t="n">
        <x:v>22.75</x:v>
      </x:c>
      <x:c r="J12" s="33" t="str">
        <x:v>False</x:v>
      </x:c>
      <x:c r="K12" s="45" t="n">
        <x:v>12</x:v>
      </x:c>
      <x:c r="L12" s="33" t="str">
        <x:v>Кожа</x:v>
      </x:c>
    </x:row>
    <x:row r="13">
      <x:c r="A13" s="33" t="str">
        <x:v>XIII</x:v>
      </x:c>
      <x:c r="B13" s="39" t="n">
        <x:v>277</x:v>
      </x:c>
      <x:c r="C13" s="45" t="n">
        <x:v>68</x:v>
      </x:c>
      <x:c r="D13" s="45" t="n">
        <x:v>60</x:v>
      </x:c>
      <x:c r="E13" s="45" t="n">
        <x:v>75</x:v>
      </x:c>
      <x:c r="F13" s="45" t="n">
        <x:v>66.68592057761732</x:v>
      </x:c>
      <x:c r="G13" s="45" t="n">
        <x:v>24</x:v>
      </x:c>
      <x:c r="H13" s="45" t="n">
        <x:v>97</x:v>
      </x:c>
      <x:c r="I13" s="45" t="n">
        <x:v>15</x:v>
      </x:c>
      <x:c r="J13" s="33" t="str">
        <x:v>False</x:v>
      </x:c>
      <x:c r="K13" s="45" t="n">
        <x:v>13</x:v>
      </x:c>
      <x:c r="L13" s="33" t="str">
        <x:v>Костно-мышечные</x:v>
      </x:c>
    </x:row>
    <x:row r="14">
      <x:c r="A14" s="33" t="str">
        <x:v>XIV</x:v>
      </x:c>
      <x:c r="B14" s="39" t="n">
        <x:v>3063</x:v>
      </x:c>
      <x:c r="C14" s="45" t="n">
        <x:v>76</x:v>
      </x:c>
      <x:c r="D14" s="45" t="n">
        <x:v>68</x:v>
      </x:c>
      <x:c r="E14" s="45" t="n">
        <x:v>84</x:v>
      </x:c>
      <x:c r="F14" s="45" t="n">
        <x:v>75.23702252693438</x:v>
      </x:c>
      <x:c r="G14" s="45" t="n">
        <x:v>0</x:v>
      </x:c>
      <x:c r="H14" s="45" t="n">
        <x:v>103</x:v>
      </x:c>
      <x:c r="I14" s="45" t="n">
        <x:v>16</x:v>
      </x:c>
      <x:c r="J14" s="33" t="str">
        <x:v>False</x:v>
      </x:c>
      <x:c r="K14" s="45" t="n">
        <x:v>14</x:v>
      </x:c>
      <x:c r="L14" s="33" t="str">
        <x:v>Мочеполовая система</x:v>
      </x:c>
    </x:row>
    <x:row r="15">
      <x:c r="A15" s="33" t="str">
        <x:v>XV</x:v>
      </x:c>
      <x:c r="B15" s="39" t="n">
        <x:v>11</x:v>
      </x:c>
      <x:c r="C15" s="45" t="n">
        <x:v>31</x:v>
      </x:c>
      <x:c r="D15" s="45" t="n">
        <x:v>29</x:v>
      </x:c>
      <x:c r="E15" s="45" t="n">
        <x:v>35</x:v>
      </x:c>
      <x:c r="F15" s="45" t="n">
        <x:v>29.636363636363637</x:v>
      </x:c>
      <x:c r="G15" s="45" t="n">
        <x:v>0</x:v>
      </x:c>
      <x:c r="H15" s="45" t="n">
        <x:v>40</x:v>
      </x:c>
      <x:c r="I15" s="45" t="n">
        <x:v>6</x:v>
      </x:c>
      <x:c r="J15" s="33" t="str">
        <x:v>False</x:v>
      </x:c>
      <x:c r="K15" s="45" t="n">
        <x:v>15</x:v>
      </x:c>
      <x:c r="L15" s="33" t="str">
        <x:v>Беременность и роды</x:v>
      </x:c>
    </x:row>
    <x:row r="16">
      <x:c r="A16" s="33" t="str">
        <x:v>XVI</x:v>
      </x:c>
      <x:c r="B16" s="39" t="n">
        <x:v>170</x:v>
      </x:c>
      <x:c r="C16" s="45" t="n">
        <x:v>0</x:v>
      </x:c>
      <x:c r="D16" s="45" t="n">
        <x:v>0</x:v>
      </x:c>
      <x:c r="E16" s="45" t="n">
        <x:v>0</x:v>
      </x:c>
      <x:c r="F16" s="45" t="n">
        <x:v>0</x:v>
      </x:c>
      <x:c r="G16" s="45" t="n">
        <x:v>0</x:v>
      </x:c>
      <x:c r="H16" s="45" t="n">
        <x:v>0</x:v>
      </x:c>
      <x:c r="I16" s="45" t="n">
        <x:v>0</x:v>
      </x:c>
      <x:c r="J16" s="33" t="str">
        <x:v>False</x:v>
      </x:c>
      <x:c r="K16" s="45" t="n">
        <x:v>16</x:v>
      </x:c>
      <x:c r="L16" s="33" t="str">
        <x:v>Перинатальные состояния</x:v>
      </x:c>
    </x:row>
    <x:row r="17">
      <x:c r="A17" s="33" t="str">
        <x:v>XVII</x:v>
      </x:c>
      <x:c r="B17" s="39" t="n">
        <x:v>100</x:v>
      </x:c>
      <x:c r="C17" s="45" t="n">
        <x:v>24</x:v>
      </x:c>
      <x:c r="D17" s="45" t="n">
        <x:v>0</x:v>
      </x:c>
      <x:c r="E17" s="45" t="n">
        <x:v>53.25</x:v>
      </x:c>
      <x:c r="F17" s="45" t="n">
        <x:v>28.76</x:v>
      </x:c>
      <x:c r="G17" s="45" t="n">
        <x:v>0</x:v>
      </x:c>
      <x:c r="H17" s="45" t="n">
        <x:v>91</x:v>
      </x:c>
      <x:c r="I17" s="45" t="n">
        <x:v>53.25</x:v>
      </x:c>
      <x:c r="J17" s="33" t="str">
        <x:v>False</x:v>
      </x:c>
      <x:c r="K17" s="45" t="n">
        <x:v>17</x:v>
      </x:c>
      <x:c r="L17" s="33" t="str">
        <x:v>Врожденные аномалии</x:v>
      </x:c>
    </x:row>
    <x:row r="18">
      <x:c r="A18" s="33" t="str">
        <x:v>XVIII</x:v>
      </x:c>
      <x:c r="B18" s="39" t="n">
        <x:v>1843</x:v>
      </x:c>
      <x:c r="C18" s="45" t="n">
        <x:v>59</x:v>
      </x:c>
      <x:c r="D18" s="45" t="n">
        <x:v>47</x:v>
      </x:c>
      <x:c r="E18" s="45" t="n">
        <x:v>69</x:v>
      </x:c>
      <x:c r="F18" s="45" t="n">
        <x:v>58.06836679327184</x:v>
      </x:c>
      <x:c r="G18" s="45" t="n">
        <x:v>0</x:v>
      </x:c>
      <x:c r="H18" s="45" t="n">
        <x:v>105</x:v>
      </x:c>
      <x:c r="I18" s="45" t="n">
        <x:v>22</x:v>
      </x:c>
      <x:c r="J18" s="33" t="str">
        <x:v>False</x:v>
      </x:c>
      <x:c r="K18" s="45" t="n">
        <x:v>18</x:v>
      </x:c>
      <x:c r="L18" s="33" t="str">
        <x:v>Симптомы и неточные причины</x:v>
      </x:c>
    </x:row>
    <x:row r="19">
      <x:c r="A19" s="33" t="str">
        <x:v>XIX</x:v>
      </x:c>
      <x:c r="B19" s="39" t="n">
        <x:v>9049</x:v>
      </x:c>
      <x:c r="C19" s="45" t="n">
        <x:v>45</x:v>
      </x:c>
      <x:c r="D19" s="45" t="n">
        <x:v>35</x:v>
      </x:c>
      <x:c r="E19" s="45" t="n">
        <x:v>58</x:v>
      </x:c>
      <x:c r="F19" s="45" t="n">
        <x:v>46.73179356835009</x:v>
      </x:c>
      <x:c r="G19" s="45" t="n">
        <x:v>0</x:v>
      </x:c>
      <x:c r="H19" s="45" t="n">
        <x:v>98</x:v>
      </x:c>
      <x:c r="I19" s="45" t="n">
        <x:v>23</x:v>
      </x:c>
      <x:c r="J19" s="33" t="str">
        <x:v>False</x:v>
      </x:c>
      <x:c r="K19" s="45" t="n">
        <x:v>19</x:v>
      </x:c>
      <x:c r="L19" s="33" t="str">
        <x:v>Травмы и отравления</x:v>
      </x:c>
    </x:row>
    <x:row r="20">
      <x:c r="A20" s="34" t="str">
        <x:v>XXII</x:v>
      </x:c>
      <x:c r="B20" s="40" t="n">
        <x:v>803</x:v>
      </x:c>
      <x:c r="C20" s="46" t="n">
        <x:v>72</x:v>
      </x:c>
      <x:c r="D20" s="46" t="n">
        <x:v>65</x:v>
      </x:c>
      <x:c r="E20" s="46" t="n">
        <x:v>81</x:v>
      </x:c>
      <x:c r="F20" s="46" t="n">
        <x:v>71.8318804483188</x:v>
      </x:c>
      <x:c r="G20" s="46" t="n">
        <x:v>16</x:v>
      </x:c>
      <x:c r="H20" s="46" t="n">
        <x:v>99</x:v>
      </x:c>
      <x:c r="I20" s="46" t="n">
        <x:v>16</x:v>
      </x:c>
      <x:c r="J20" s="34" t="str">
        <x:v>False</x:v>
      </x:c>
      <x:c r="K20" s="46" t="n">
        <x:v>22</x:v>
      </x:c>
      <x:c r="L20" s="34" t="str">
        <x:v>Специальные коды</x:v>
      </x:c>
    </x:row>
  </x:sheetData>
  <x:conditionalFormatting sqref="J2:J20">
    <x:cfRule type="containsText" dxfId="0" priority="1" operator="containsText" text="TRUE"/>
  </x:conditionalFormatting>
  <x:pageMargins left="0.7" right="0.7" top="0.75" bottom="0.75" header="0.3" footer="0.3"/>
  <x:tableParts count="1">
    <x:tablePart xmlns:r="http://schemas.openxmlformats.org/officeDocument/2006/relationships" r:id="R610255fbe4384c7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52" hidden="0" customWidth="1"/>
    <x:col min="4" max="4" width="10" hidden="0" customWidth="1"/>
    <x:col min="5" max="5" width="17" hidden="0" customWidth="1"/>
    <x:col min="6" max="6" width="11" hidden="0" customWidth="1"/>
    <x:col min="7" max="7" width="11" hidden="0" customWidth="1"/>
    <x:col min="8" max="8" width="17" hidden="0" customWidth="1"/>
    <x:col min="9" max="9" width="12" hidden="0" customWidth="1"/>
    <x:col min="10" max="10" width="12" hidden="0" customWidth="1"/>
    <x:col min="11" max="11" width="11" hidden="0" customWidth="1"/>
    <x:col min="12" max="12" width="10" hidden="0" customWidth="1"/>
    <x:col min="13" max="13" width="14" hidden="0" customWidth="1"/>
  </x:cols>
  <x:sheetData>
    <x:row r="1" ht="32" customHeight="1">
      <x:c r="A1" s="18" t="str">
        <x:v>Класс МКБ-10</x:v>
      </x:c>
      <x:c r="B1" s="19" t="str">
        <x:v>Код блока</x:v>
      </x:c>
      <x:c r="C1" s="19" t="str">
        <x:v>Описание блока</x:v>
      </x:c>
      <x:c r="D1" s="19" t="str">
        <x:v>n</x:v>
      </x:c>
      <x:c r="E1" s="19" t="str">
        <x:v>Медиана возраста</x:v>
      </x:c>
      <x:c r="F1" s="19" t="str">
        <x:v>Q1</x:v>
      </x:c>
      <x:c r="G1" s="19" t="str">
        <x:v>Q3</x:v>
      </x:c>
      <x:c r="H1" s="19" t="str">
        <x:v>Средний возраст</x:v>
      </x:c>
      <x:c r="I1" s="19" t="str">
        <x:v>Минимум</x:v>
      </x:c>
      <x:c r="J1" s="19" t="str">
        <x:v>Максимум</x:v>
      </x:c>
      <x:c r="K1" s="19" t="str">
        <x:v>IQR</x:v>
      </x:c>
      <x:c r="L1" s="19" t="str">
        <x:v>n&lt;5</x:v>
      </x:c>
      <x:c r="M1" s="20" t="str">
        <x:v>Порядок класса</x:v>
      </x:c>
    </x:row>
    <x:row r="2">
      <x:c r="A2" s="32" t="str">
        <x:v>I</x:v>
      </x:c>
      <x:c r="B2" s="32" t="str">
        <x:v>A00-A09</x:v>
      </x:c>
      <x:c r="C2" s="50" t="str">
        <x:v>Кишечные инфекции</x:v>
      </x:c>
      <x:c r="D2" s="38" t="n">
        <x:v>48</x:v>
      </x:c>
      <x:c r="E2" s="44" t="n">
        <x:v>60.5</x:v>
      </x:c>
      <x:c r="F2" s="44" t="n">
        <x:v>40</x:v>
      </x:c>
      <x:c r="G2" s="44" t="n">
        <x:v>71.75</x:v>
      </x:c>
      <x:c r="H2" s="44" t="n">
        <x:v>52.479166666666664</x:v>
      </x:c>
      <x:c r="I2" s="44" t="n">
        <x:v>0</x:v>
      </x:c>
      <x:c r="J2" s="44" t="n">
        <x:v>95</x:v>
      </x:c>
      <x:c r="K2" s="44" t="n">
        <x:v>31.75</x:v>
      </x:c>
      <x:c r="L2" s="32" t="str">
        <x:v>False</x:v>
      </x:c>
      <x:c r="M2" s="44" t="n">
        <x:v>1</x:v>
      </x:c>
    </x:row>
    <x:row r="3">
      <x:c r="A3" s="33" t="str">
        <x:v>I</x:v>
      </x:c>
      <x:c r="B3" s="33" t="str">
        <x:v>A15-A19</x:v>
      </x:c>
      <x:c r="C3" s="51" t="str">
        <x:v>Туберкулез</x:v>
      </x:c>
      <x:c r="D3" s="39" t="n">
        <x:v>352</x:v>
      </x:c>
      <x:c r="E3" s="45" t="n">
        <x:v>47</x:v>
      </x:c>
      <x:c r="F3" s="45" t="n">
        <x:v>38</x:v>
      </x:c>
      <x:c r="G3" s="45" t="n">
        <x:v>57</x:v>
      </x:c>
      <x:c r="H3" s="45" t="n">
        <x:v>48.05965909090909</x:v>
      </x:c>
      <x:c r="I3" s="45" t="n">
        <x:v>15</x:v>
      </x:c>
      <x:c r="J3" s="45" t="n">
        <x:v>97</x:v>
      </x:c>
      <x:c r="K3" s="45" t="n">
        <x:v>19</x:v>
      </x:c>
      <x:c r="L3" s="33" t="str">
        <x:v>False</x:v>
      </x:c>
      <x:c r="M3" s="45" t="n">
        <x:v>1</x:v>
      </x:c>
    </x:row>
    <x:row r="4">
      <x:c r="A4" s="33" t="str">
        <x:v>I</x:v>
      </x:c>
      <x:c r="B4" s="33" t="str">
        <x:v>A30-A49</x:v>
      </x:c>
      <x:c r="C4" s="51" t="str">
        <x:v>Другие бактериальные болезни</x:v>
      </x:c>
      <x:c r="D4" s="39" t="n">
        <x:v>43</x:v>
      </x:c>
      <x:c r="E4" s="45" t="n">
        <x:v>71</x:v>
      </x:c>
      <x:c r="F4" s="45" t="n">
        <x:v>60.5</x:v>
      </x:c>
      <x:c r="G4" s="45" t="n">
        <x:v>80</x:v>
      </x:c>
      <x:c r="H4" s="45" t="n">
        <x:v>65.55813953488372</x:v>
      </x:c>
      <x:c r="I4" s="45" t="n">
        <x:v>0</x:v>
      </x:c>
      <x:c r="J4" s="45" t="n">
        <x:v>92</x:v>
      </x:c>
      <x:c r="K4" s="45" t="n">
        <x:v>19.5</x:v>
      </x:c>
      <x:c r="L4" s="33" t="str">
        <x:v>False</x:v>
      </x:c>
      <x:c r="M4" s="45" t="n">
        <x:v>1</x:v>
      </x:c>
    </x:row>
    <x:row r="5">
      <x:c r="A5" s="33" t="str">
        <x:v>I</x:v>
      </x:c>
      <x:c r="B5" s="33" t="str">
        <x:v>A50-A64</x:v>
      </x:c>
      <x:c r="C5" s="51" t="str">
        <x:v>Инфекции, передающиеся преимущественно половым путем</x:v>
      </x:c>
      <x:c r="D5" s="39" t="n">
        <x:v>3</x:v>
      </x:c>
      <x:c r="E5" s="45" t="n">
        <x:v>51</x:v>
      </x:c>
      <x:c r="F5" s="45" t="n">
        <x:v>48</x:v>
      </x:c>
      <x:c r="G5" s="45" t="n">
        <x:v>53</x:v>
      </x:c>
      <x:c r="H5" s="45" t="n">
        <x:v>50.333333333333336</x:v>
      </x:c>
      <x:c r="I5" s="45" t="n">
        <x:v>45</x:v>
      </x:c>
      <x:c r="J5" s="45" t="n">
        <x:v>55</x:v>
      </x:c>
      <x:c r="K5" s="45" t="n">
        <x:v>5</x:v>
      </x:c>
      <x:c r="L5" s="33" t="str">
        <x:v>True</x:v>
      </x:c>
      <x:c r="M5" s="45" t="n">
        <x:v>1</x:v>
      </x:c>
    </x:row>
    <x:row r="6">
      <x:c r="A6" s="33" t="str">
        <x:v>I</x:v>
      </x:c>
      <x:c r="B6" s="33" t="str">
        <x:v>A80-A89</x:v>
      </x:c>
      <x:c r="C6" s="51" t="str">
        <x:v>Вирусные инфекции центральной нервной системы</x:v>
      </x:c>
      <x:c r="D6" s="39" t="n">
        <x:v>2</x:v>
      </x:c>
      <x:c r="E6" s="45" t="n">
        <x:v>45.5</x:v>
      </x:c>
      <x:c r="F6" s="45" t="n">
        <x:v>36.75</x:v>
      </x:c>
      <x:c r="G6" s="45" t="n">
        <x:v>54.25</x:v>
      </x:c>
      <x:c r="H6" s="45" t="n">
        <x:v>45.5</x:v>
      </x:c>
      <x:c r="I6" s="45" t="n">
        <x:v>28</x:v>
      </x:c>
      <x:c r="J6" s="45" t="n">
        <x:v>63</x:v>
      </x:c>
      <x:c r="K6" s="45" t="n">
        <x:v>17.5</x:v>
      </x:c>
      <x:c r="L6" s="33" t="str">
        <x:v>True</x:v>
      </x:c>
      <x:c r="M6" s="45" t="n">
        <x:v>1</x:v>
      </x:c>
    </x:row>
    <x:row r="7">
      <x:c r="A7" s="33" t="str">
        <x:v>I</x:v>
      </x:c>
      <x:c r="B7" s="33" t="str">
        <x:v>B00-B09</x:v>
      </x:c>
      <x:c r="C7" s="51" t="str">
        <x:v>Вирусные инфекции, характеризующиеся поражениями кожи и слизистых оболочек</x:v>
      </x:c>
      <x:c r="D7" s="39" t="n">
        <x:v>1</x:v>
      </x:c>
      <x:c r="E7" s="45" t="n">
        <x:v>33</x:v>
      </x:c>
      <x:c r="F7" s="45" t="n">
        <x:v>33</x:v>
      </x:c>
      <x:c r="G7" s="45" t="n">
        <x:v>33</x:v>
      </x:c>
      <x:c r="H7" s="45" t="n">
        <x:v>33</x:v>
      </x:c>
      <x:c r="I7" s="45" t="n">
        <x:v>33</x:v>
      </x:c>
      <x:c r="J7" s="45" t="n">
        <x:v>33</x:v>
      </x:c>
      <x:c r="K7" s="45" t="n">
        <x:v>0</x:v>
      </x:c>
      <x:c r="L7" s="33" t="str">
        <x:v>True</x:v>
      </x:c>
      <x:c r="M7" s="45" t="n">
        <x:v>1</x:v>
      </x:c>
    </x:row>
    <x:row r="8">
      <x:c r="A8" s="33" t="str">
        <x:v>I</x:v>
      </x:c>
      <x:c r="B8" s="33" t="str">
        <x:v>B15-B19</x:v>
      </x:c>
      <x:c r="C8" s="51" t="str">
        <x:v>Вирусный гепатит</x:v>
      </x:c>
      <x:c r="D8" s="39" t="n">
        <x:v>93</x:v>
      </x:c>
      <x:c r="E8" s="45" t="n">
        <x:v>53</x:v>
      </x:c>
      <x:c r="F8" s="45" t="n">
        <x:v>45</x:v>
      </x:c>
      <x:c r="G8" s="45" t="n">
        <x:v>65</x:v>
      </x:c>
      <x:c r="H8" s="45" t="n">
        <x:v>55.473118279569896</x:v>
      </x:c>
      <x:c r="I8" s="45" t="n">
        <x:v>29</x:v>
      </x:c>
      <x:c r="J8" s="45" t="n">
        <x:v>88</x:v>
      </x:c>
      <x:c r="K8" s="45" t="n">
        <x:v>20</x:v>
      </x:c>
      <x:c r="L8" s="33" t="str">
        <x:v>False</x:v>
      </x:c>
      <x:c r="M8" s="45" t="n">
        <x:v>1</x:v>
      </x:c>
    </x:row>
    <x:row r="9">
      <x:c r="A9" s="33" t="str">
        <x:v>I</x:v>
      </x:c>
      <x:c r="B9" s="33" t="str">
        <x:v>B20-B24</x:v>
      </x:c>
      <x:c r="C9" s="51" t="str">
        <x:v>Болезнь, вызванная вирусом иммунодефицита человека [ВИЧ]</x:v>
      </x:c>
      <x:c r="D9" s="39" t="n">
        <x:v>177</x:v>
      </x:c>
      <x:c r="E9" s="45" t="n">
        <x:v>40</x:v>
      </x:c>
      <x:c r="F9" s="45" t="n">
        <x:v>36</x:v>
      </x:c>
      <x:c r="G9" s="45" t="n">
        <x:v>47</x:v>
      </x:c>
      <x:c r="H9" s="45" t="n">
        <x:v>42.16949152542373</x:v>
      </x:c>
      <x:c r="I9" s="45" t="n">
        <x:v>21</x:v>
      </x:c>
      <x:c r="J9" s="45" t="n">
        <x:v>77</x:v>
      </x:c>
      <x:c r="K9" s="45" t="n">
        <x:v>11</x:v>
      </x:c>
      <x:c r="L9" s="33" t="str">
        <x:v>False</x:v>
      </x:c>
      <x:c r="M9" s="45" t="n">
        <x:v>1</x:v>
      </x:c>
    </x:row>
    <x:row r="10">
      <x:c r="A10" s="33" t="str">
        <x:v>I</x:v>
      </x:c>
      <x:c r="B10" s="33" t="str">
        <x:v>B25-B34</x:v>
      </x:c>
      <x:c r="C10" s="51" t="str">
        <x:v>Другие вирусные болезни</x:v>
      </x:c>
      <x:c r="D10" s="39" t="n">
        <x:v>5</x:v>
      </x:c>
      <x:c r="E10" s="45" t="n">
        <x:v>44</x:v>
      </x:c>
      <x:c r="F10" s="45" t="n">
        <x:v>25</x:v>
      </x:c>
      <x:c r="G10" s="45" t="n">
        <x:v>59</x:v>
      </x:c>
      <x:c r="H10" s="45" t="n">
        <x:v>39.4</x:v>
      </x:c>
      <x:c r="I10" s="45" t="n">
        <x:v>0</x:v>
      </x:c>
      <x:c r="J10" s="45" t="n">
        <x:v>69</x:v>
      </x:c>
      <x:c r="K10" s="45" t="n">
        <x:v>34</x:v>
      </x:c>
      <x:c r="L10" s="33" t="str">
        <x:v>False</x:v>
      </x:c>
      <x:c r="M10" s="45" t="n">
        <x:v>1</x:v>
      </x:c>
    </x:row>
    <x:row r="11">
      <x:c r="A11" s="33" t="str">
        <x:v>I</x:v>
      </x:c>
      <x:c r="B11" s="33" t="str">
        <x:v>B35-B49</x:v>
      </x:c>
      <x:c r="C11" s="51" t="str">
        <x:v>Микозы</x:v>
      </x:c>
      <x:c r="D11" s="39" t="n">
        <x:v>2</x:v>
      </x:c>
      <x:c r="E11" s="45" t="n">
        <x:v>64.5</x:v>
      </x:c>
      <x:c r="F11" s="45" t="n">
        <x:v>57.25</x:v>
      </x:c>
      <x:c r="G11" s="45" t="n">
        <x:v>71.75</x:v>
      </x:c>
      <x:c r="H11" s="45" t="n">
        <x:v>64.5</x:v>
      </x:c>
      <x:c r="I11" s="45" t="n">
        <x:v>50</x:v>
      </x:c>
      <x:c r="J11" s="45" t="n">
        <x:v>79</x:v>
      </x:c>
      <x:c r="K11" s="45" t="n">
        <x:v>14.5</x:v>
      </x:c>
      <x:c r="L11" s="33" t="str">
        <x:v>True</x:v>
      </x:c>
      <x:c r="M11" s="45" t="n">
        <x:v>1</x:v>
      </x:c>
    </x:row>
    <x:row r="12">
      <x:c r="A12" s="33" t="str">
        <x:v>I</x:v>
      </x:c>
      <x:c r="B12" s="33" t="str">
        <x:v>B65-B83</x:v>
      </x:c>
      <x:c r="C12" s="51" t="str">
        <x:v>Гельминтозы</x:v>
      </x:c>
      <x:c r="D12" s="39" t="n">
        <x:v>1</x:v>
      </x:c>
      <x:c r="E12" s="45" t="n">
        <x:v>69</x:v>
      </x:c>
      <x:c r="F12" s="45" t="n">
        <x:v>69</x:v>
      </x:c>
      <x:c r="G12" s="45" t="n">
        <x:v>69</x:v>
      </x:c>
      <x:c r="H12" s="45" t="n">
        <x:v>69</x:v>
      </x:c>
      <x:c r="I12" s="45" t="n">
        <x:v>69</x:v>
      </x:c>
      <x:c r="J12" s="45" t="n">
        <x:v>69</x:v>
      </x:c>
      <x:c r="K12" s="45" t="n">
        <x:v>0</x:v>
      </x:c>
      <x:c r="L12" s="33" t="str">
        <x:v>True</x:v>
      </x:c>
      <x:c r="M12" s="45" t="n">
        <x:v>1</x:v>
      </x:c>
    </x:row>
    <x:row r="13">
      <x:c r="A13" s="33" t="str">
        <x:v>I</x:v>
      </x:c>
      <x:c r="B13" s="33" t="str">
        <x:v>B90-B94</x:v>
      </x:c>
      <x:c r="C13" s="51" t="str">
        <x:v>Последствия инфестационных и паразитарных болезней</x:v>
      </x:c>
      <x:c r="D13" s="39" t="n">
        <x:v>3</x:v>
      </x:c>
      <x:c r="E13" s="45" t="n">
        <x:v>54</x:v>
      </x:c>
      <x:c r="F13" s="45" t="n">
        <x:v>42.5</x:v>
      </x:c>
      <x:c r="G13" s="45" t="n">
        <x:v>61</x:v>
      </x:c>
      <x:c r="H13" s="45" t="n">
        <x:v>51</x:v>
      </x:c>
      <x:c r="I13" s="45" t="n">
        <x:v>31</x:v>
      </x:c>
      <x:c r="J13" s="45" t="n">
        <x:v>68</x:v>
      </x:c>
      <x:c r="K13" s="45" t="n">
        <x:v>18.5</x:v>
      </x:c>
      <x:c r="L13" s="33" t="str">
        <x:v>True</x:v>
      </x:c>
      <x:c r="M13" s="45" t="n">
        <x:v>1</x:v>
      </x:c>
    </x:row>
    <x:row r="14">
      <x:c r="A14" s="33" t="str">
        <x:v>II</x:v>
      </x:c>
      <x:c r="B14" s="33" t="str">
        <x:v>C00-C14</x:v>
      </x:c>
      <x:c r="C14" s="51" t="str">
        <x:v>Губы, полости рта и глотки</x:v>
      </x:c>
      <x:c r="D14" s="39" t="n">
        <x:v>452</x:v>
      </x:c>
      <x:c r="E14" s="45" t="n">
        <x:v>63</x:v>
      </x:c>
      <x:c r="F14" s="45" t="n">
        <x:v>55</x:v>
      </x:c>
      <x:c r="G14" s="45" t="n">
        <x:v>68</x:v>
      </x:c>
      <x:c r="H14" s="45" t="n">
        <x:v>61.876106194690266</x:v>
      </x:c>
      <x:c r="I14" s="45" t="n">
        <x:v>35</x:v>
      </x:c>
      <x:c r="J14" s="45" t="n">
        <x:v>100</x:v>
      </x:c>
      <x:c r="K14" s="45" t="n">
        <x:v>13</x:v>
      </x:c>
      <x:c r="L14" s="33" t="str">
        <x:v>False</x:v>
      </x:c>
      <x:c r="M14" s="45" t="n">
        <x:v>2</x:v>
      </x:c>
    </x:row>
    <x:row r="15">
      <x:c r="A15" s="33" t="str">
        <x:v>II</x:v>
      </x:c>
      <x:c r="B15" s="33" t="str">
        <x:v>C15-C26</x:v>
      </x:c>
      <x:c r="C15" s="51" t="str">
        <x:v>Органов пищеварения</x:v>
      </x:c>
      <x:c r="D15" s="39" t="n">
        <x:v>4248</x:v>
      </x:c>
      <x:c r="E15" s="45" t="n">
        <x:v>68</x:v>
      </x:c>
      <x:c r="F15" s="45" t="n">
        <x:v>61</x:v>
      </x:c>
      <x:c r="G15" s="45" t="n">
        <x:v>75</x:v>
      </x:c>
      <x:c r="H15" s="45" t="n">
        <x:v>67.57909604519774</x:v>
      </x:c>
      <x:c r="I15" s="45" t="n">
        <x:v>27</x:v>
      </x:c>
      <x:c r="J15" s="45" t="n">
        <x:v>98</x:v>
      </x:c>
      <x:c r="K15" s="45" t="n">
        <x:v>14</x:v>
      </x:c>
      <x:c r="L15" s="33" t="str">
        <x:v>False</x:v>
      </x:c>
      <x:c r="M15" s="45" t="n">
        <x:v>2</x:v>
      </x:c>
    </x:row>
    <x:row r="16">
      <x:c r="A16" s="33" t="str">
        <x:v>II</x:v>
      </x:c>
      <x:c r="B16" s="33" t="str">
        <x:v>C30-C39</x:v>
      </x:c>
      <x:c r="C16" s="51" t="str">
        <x:v>Органов дыхания и грудной клетки</x:v>
      </x:c>
      <x:c r="D16" s="39" t="n">
        <x:v>2585</x:v>
      </x:c>
      <x:c r="E16" s="45" t="n">
        <x:v>66</x:v>
      </x:c>
      <x:c r="F16" s="45" t="n">
        <x:v>61</x:v>
      </x:c>
      <x:c r="G16" s="45" t="n">
        <x:v>72</x:v>
      </x:c>
      <x:c r="H16" s="45" t="n">
        <x:v>66.07234042553192</x:v>
      </x:c>
      <x:c r="I16" s="45" t="n">
        <x:v>17</x:v>
      </x:c>
      <x:c r="J16" s="45" t="n">
        <x:v>105</x:v>
      </x:c>
      <x:c r="K16" s="45" t="n">
        <x:v>11</x:v>
      </x:c>
      <x:c r="L16" s="33" t="str">
        <x:v>False</x:v>
      </x:c>
      <x:c r="M16" s="45" t="n">
        <x:v>2</x:v>
      </x:c>
    </x:row>
    <x:row r="17">
      <x:c r="A17" s="33" t="str">
        <x:v>II</x:v>
      </x:c>
      <x:c r="B17" s="33" t="str">
        <x:v>C40-C41</x:v>
      </x:c>
      <x:c r="C17" s="51" t="str">
        <x:v>Костей и суставных хрящей</x:v>
      </x:c>
      <x:c r="D17" s="39" t="n">
        <x:v>32</x:v>
      </x:c>
      <x:c r="E17" s="45" t="n">
        <x:v>63</x:v>
      </x:c>
      <x:c r="F17" s="45" t="n">
        <x:v>45.25</x:v>
      </x:c>
      <x:c r="G17" s="45" t="n">
        <x:v>69.25</x:v>
      </x:c>
      <x:c r="H17" s="45" t="n">
        <x:v>58.3125</x:v>
      </x:c>
      <x:c r="I17" s="45" t="n">
        <x:v>20</x:v>
      </x:c>
      <x:c r="J17" s="45" t="n">
        <x:v>89</x:v>
      </x:c>
      <x:c r="K17" s="45" t="n">
        <x:v>24</x:v>
      </x:c>
      <x:c r="L17" s="33" t="str">
        <x:v>False</x:v>
      </x:c>
      <x:c r="M17" s="45" t="n">
        <x:v>2</x:v>
      </x:c>
    </x:row>
    <x:row r="18">
      <x:c r="A18" s="33" t="str">
        <x:v>II</x:v>
      </x:c>
      <x:c r="B18" s="33" t="str">
        <x:v>C43-C44</x:v>
      </x:c>
      <x:c r="C18" s="51" t="str">
        <x:v>Кожи</x:v>
      </x:c>
      <x:c r="D18" s="39" t="n">
        <x:v>195</x:v>
      </x:c>
      <x:c r="E18" s="45" t="n">
        <x:v>67</x:v>
      </x:c>
      <x:c r="F18" s="45" t="n">
        <x:v>59</x:v>
      </x:c>
      <x:c r="G18" s="45" t="n">
        <x:v>75</x:v>
      </x:c>
      <x:c r="H18" s="45" t="n">
        <x:v>66.41538461538461</x:v>
      </x:c>
      <x:c r="I18" s="45" t="n">
        <x:v>28</x:v>
      </x:c>
      <x:c r="J18" s="45" t="n">
        <x:v>96</x:v>
      </x:c>
      <x:c r="K18" s="45" t="n">
        <x:v>16</x:v>
      </x:c>
      <x:c r="L18" s="33" t="str">
        <x:v>False</x:v>
      </x:c>
      <x:c r="M18" s="45" t="n">
        <x:v>2</x:v>
      </x:c>
    </x:row>
    <x:row r="19">
      <x:c r="A19" s="33" t="str">
        <x:v>II</x:v>
      </x:c>
      <x:c r="B19" s="33" t="str">
        <x:v>C45-C49</x:v>
      </x:c>
      <x:c r="C19" s="51" t="str">
        <x:v>Мезотелиальной и мягких тканей</x:v>
      </x:c>
      <x:c r="D19" s="39" t="n">
        <x:v>142</x:v>
      </x:c>
      <x:c r="E19" s="45" t="n">
        <x:v>69</x:v>
      </x:c>
      <x:c r="F19" s="45" t="n">
        <x:v>60</x:v>
      </x:c>
      <x:c r="G19" s="45" t="n">
        <x:v>75</x:v>
      </x:c>
      <x:c r="H19" s="45" t="n">
        <x:v>66.69014084507042</x:v>
      </x:c>
      <x:c r="I19" s="45" t="n">
        <x:v>9</x:v>
      </x:c>
      <x:c r="J19" s="45" t="n">
        <x:v>93</x:v>
      </x:c>
      <x:c r="K19" s="45" t="n">
        <x:v>15</x:v>
      </x:c>
      <x:c r="L19" s="33" t="str">
        <x:v>False</x:v>
      </x:c>
      <x:c r="M19" s="45" t="n">
        <x:v>2</x:v>
      </x:c>
    </x:row>
    <x:row r="20">
      <x:c r="A20" s="33" t="str">
        <x:v>II</x:v>
      </x:c>
      <x:c r="B20" s="33" t="str">
        <x:v>C50-C50</x:v>
      </x:c>
      <x:c r="C20" s="51" t="str">
        <x:v>Молочной железы</x:v>
      </x:c>
      <x:c r="D20" s="39" t="n">
        <x:v>675</x:v>
      </x:c>
      <x:c r="E20" s="45" t="n">
        <x:v>66</x:v>
      </x:c>
      <x:c r="F20" s="45" t="n">
        <x:v>57</x:v>
      </x:c>
      <x:c r="G20" s="45" t="n">
        <x:v>75</x:v>
      </x:c>
      <x:c r="H20" s="45" t="n">
        <x:v>65.4074074074074</x:v>
      </x:c>
      <x:c r="I20" s="45" t="n">
        <x:v>31</x:v>
      </x:c>
      <x:c r="J20" s="45" t="n">
        <x:v>97</x:v>
      </x:c>
      <x:c r="K20" s="45" t="n">
        <x:v>18</x:v>
      </x:c>
      <x:c r="L20" s="33" t="str">
        <x:v>False</x:v>
      </x:c>
      <x:c r="M20" s="45" t="n">
        <x:v>2</x:v>
      </x:c>
    </x:row>
    <x:row r="21">
      <x:c r="A21" s="33" t="str">
        <x:v>II</x:v>
      </x:c>
      <x:c r="B21" s="33" t="str">
        <x:v>C51-C58</x:v>
      </x:c>
      <x:c r="C21" s="51" t="str">
        <x:v>Женских половых органов</x:v>
      </x:c>
      <x:c r="D21" s="39" t="n">
        <x:v>870</x:v>
      </x:c>
      <x:c r="E21" s="45" t="n">
        <x:v>65</x:v>
      </x:c>
      <x:c r="F21" s="45" t="n">
        <x:v>55</x:v>
      </x:c>
      <x:c r="G21" s="45" t="n">
        <x:v>73</x:v>
      </x:c>
      <x:c r="H21" s="45" t="n">
        <x:v>63.53908045977011</x:v>
      </x:c>
      <x:c r="I21" s="45" t="n">
        <x:v>3</x:v>
      </x:c>
      <x:c r="J21" s="45" t="n">
        <x:v>92</x:v>
      </x:c>
      <x:c r="K21" s="45" t="n">
        <x:v>18</x:v>
      </x:c>
      <x:c r="L21" s="33" t="str">
        <x:v>False</x:v>
      </x:c>
      <x:c r="M21" s="45" t="n">
        <x:v>2</x:v>
      </x:c>
    </x:row>
    <x:row r="22">
      <x:c r="A22" s="33" t="str">
        <x:v>II</x:v>
      </x:c>
      <x:c r="B22" s="33" t="str">
        <x:v>C60-C63</x:v>
      </x:c>
      <x:c r="C22" s="51" t="str">
        <x:v>Мужских половых органов</x:v>
      </x:c>
      <x:c r="D22" s="39" t="n">
        <x:v>418</x:v>
      </x:c>
      <x:c r="E22" s="45" t="n">
        <x:v>71</x:v>
      </x:c>
      <x:c r="F22" s="45" t="n">
        <x:v>66</x:v>
      </x:c>
      <x:c r="G22" s="45" t="n">
        <x:v>77</x:v>
      </x:c>
      <x:c r="H22" s="45" t="n">
        <x:v>70.77990430622009</x:v>
      </x:c>
      <x:c r="I22" s="45" t="n">
        <x:v>24</x:v>
      </x:c>
      <x:c r="J22" s="45" t="n">
        <x:v>94</x:v>
      </x:c>
      <x:c r="K22" s="45" t="n">
        <x:v>11</x:v>
      </x:c>
      <x:c r="L22" s="33" t="str">
        <x:v>False</x:v>
      </x:c>
      <x:c r="M22" s="45" t="n">
        <x:v>2</x:v>
      </x:c>
    </x:row>
    <x:row r="23">
      <x:c r="A23" s="33" t="str">
        <x:v>II</x:v>
      </x:c>
      <x:c r="B23" s="33" t="str">
        <x:v>C64-C68</x:v>
      </x:c>
      <x:c r="C23" s="51" t="str">
        <x:v>Мочевых путей</x:v>
      </x:c>
      <x:c r="D23" s="39" t="n">
        <x:v>615</x:v>
      </x:c>
      <x:c r="E23" s="45" t="n">
        <x:v>68</x:v>
      </x:c>
      <x:c r="F23" s="45" t="n">
        <x:v>61</x:v>
      </x:c>
      <x:c r="G23" s="45" t="n">
        <x:v>75</x:v>
      </x:c>
      <x:c r="H23" s="45" t="n">
        <x:v>67.90406504065041</x:v>
      </x:c>
      <x:c r="I23" s="45" t="n">
        <x:v>30</x:v>
      </x:c>
      <x:c r="J23" s="45" t="n">
        <x:v>95</x:v>
      </x:c>
      <x:c r="K23" s="45" t="n">
        <x:v>14</x:v>
      </x:c>
      <x:c r="L23" s="33" t="str">
        <x:v>False</x:v>
      </x:c>
      <x:c r="M23" s="45" t="n">
        <x:v>2</x:v>
      </x:c>
    </x:row>
    <x:row r="24">
      <x:c r="A24" s="33" t="str">
        <x:v>II</x:v>
      </x:c>
      <x:c r="B24" s="33" t="str">
        <x:v>C69-C72</x:v>
      </x:c>
      <x:c r="C24" s="51" t="str">
        <x:v>Глаза, головного мозга и других отделов центральной нервной системы</x:v>
      </x:c>
      <x:c r="D24" s="39" t="n">
        <x:v>249</x:v>
      </x:c>
      <x:c r="E24" s="45" t="n">
        <x:v>64</x:v>
      </x:c>
      <x:c r="F24" s="45" t="n">
        <x:v>53</x:v>
      </x:c>
      <x:c r="G24" s="45" t="n">
        <x:v>72</x:v>
      </x:c>
      <x:c r="H24" s="45" t="n">
        <x:v>61.02008032128514</x:v>
      </x:c>
      <x:c r="I24" s="45" t="n">
        <x:v>3</x:v>
      </x:c>
      <x:c r="J24" s="45" t="n">
        <x:v>95</x:v>
      </x:c>
      <x:c r="K24" s="45" t="n">
        <x:v>19</x:v>
      </x:c>
      <x:c r="L24" s="33" t="str">
        <x:v>False</x:v>
      </x:c>
      <x:c r="M24" s="45" t="n">
        <x:v>2</x:v>
      </x:c>
    </x:row>
    <x:row r="25">
      <x:c r="A25" s="33" t="str">
        <x:v>II</x:v>
      </x:c>
      <x:c r="B25" s="33" t="str">
        <x:v>C73-C75</x:v>
      </x:c>
      <x:c r="C25" s="51" t="str">
        <x:v>Щитовидной и других эндокринных желез</x:v>
      </x:c>
      <x:c r="D25" s="39" t="n">
        <x:v>59</x:v>
      </x:c>
      <x:c r="E25" s="45" t="n">
        <x:v>65</x:v>
      </x:c>
      <x:c r="F25" s="45" t="n">
        <x:v>58</x:v>
      </x:c>
      <x:c r="G25" s="45" t="n">
        <x:v>74</x:v>
      </x:c>
      <x:c r="H25" s="45" t="n">
        <x:v>65.10169491525424</x:v>
      </x:c>
      <x:c r="I25" s="45" t="n">
        <x:v>32</x:v>
      </x:c>
      <x:c r="J25" s="45" t="n">
        <x:v>90</x:v>
      </x:c>
      <x:c r="K25" s="45" t="n">
        <x:v>16</x:v>
      </x:c>
      <x:c r="L25" s="33" t="str">
        <x:v>False</x:v>
      </x:c>
      <x:c r="M25" s="45" t="n">
        <x:v>2</x:v>
      </x:c>
    </x:row>
    <x:row r="26">
      <x:c r="A26" s="33" t="str">
        <x:v>II</x:v>
      </x:c>
      <x:c r="B26" s="33" t="str">
        <x:v>C76-C80</x:v>
      </x:c>
      <x:c r="C26" s="51" t="str">
        <x:v>Злокачественные новообразования других, неточно обозначенных и вторичных локализаций</x:v>
      </x:c>
      <x:c r="D26" s="39" t="n">
        <x:v>61</x:v>
      </x:c>
      <x:c r="E26" s="45" t="n">
        <x:v>63</x:v>
      </x:c>
      <x:c r="F26" s="45" t="n">
        <x:v>57</x:v>
      </x:c>
      <x:c r="G26" s="45" t="n">
        <x:v>71</x:v>
      </x:c>
      <x:c r="H26" s="45" t="n">
        <x:v>63.32786885245902</x:v>
      </x:c>
      <x:c r="I26" s="45" t="n">
        <x:v>15</x:v>
      </x:c>
      <x:c r="J26" s="45" t="n">
        <x:v>85</x:v>
      </x:c>
      <x:c r="K26" s="45" t="n">
        <x:v>14</x:v>
      </x:c>
      <x:c r="L26" s="33" t="str">
        <x:v>False</x:v>
      </x:c>
      <x:c r="M26" s="45" t="n">
        <x:v>2</x:v>
      </x:c>
    </x:row>
    <x:row r="27">
      <x:c r="A27" s="33" t="str">
        <x:v>II</x:v>
      </x:c>
      <x:c r="B27" s="33" t="str">
        <x:v>C81-C96</x:v>
      </x:c>
      <x:c r="C27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27" s="39" t="n">
        <x:v>430</x:v>
      </x:c>
      <x:c r="E27" s="45" t="n">
        <x:v>67</x:v>
      </x:c>
      <x:c r="F27" s="45" t="n">
        <x:v>58</x:v>
      </x:c>
      <x:c r="G27" s="45" t="n">
        <x:v>74</x:v>
      </x:c>
      <x:c r="H27" s="45" t="n">
        <x:v>65.02325581395348</x:v>
      </x:c>
      <x:c r="I27" s="45" t="n">
        <x:v>10</x:v>
      </x:c>
      <x:c r="J27" s="45" t="n">
        <x:v>93</x:v>
      </x:c>
      <x:c r="K27" s="45" t="n">
        <x:v>16</x:v>
      </x:c>
      <x:c r="L27" s="33" t="str">
        <x:v>False</x:v>
      </x:c>
      <x:c r="M27" s="45" t="n">
        <x:v>2</x:v>
      </x:c>
    </x:row>
    <x:row r="28">
      <x:c r="A28" s="33" t="str">
        <x:v>II</x:v>
      </x:c>
      <x:c r="B28" s="33" t="str">
        <x:v>C97-C97</x:v>
      </x:c>
      <x:c r="C28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28" s="39" t="n">
        <x:v>110</x:v>
      </x:c>
      <x:c r="E28" s="45" t="n">
        <x:v>71</x:v>
      </x:c>
      <x:c r="F28" s="45" t="n">
        <x:v>65</x:v>
      </x:c>
      <x:c r="G28" s="45" t="n">
        <x:v>77</x:v>
      </x:c>
      <x:c r="H28" s="45" t="n">
        <x:v>69.86363636363636</x:v>
      </x:c>
      <x:c r="I28" s="45" t="n">
        <x:v>27</x:v>
      </x:c>
      <x:c r="J28" s="45" t="n">
        <x:v>90</x:v>
      </x:c>
      <x:c r="K28" s="45" t="n">
        <x:v>12</x:v>
      </x:c>
      <x:c r="L28" s="33" t="str">
        <x:v>False</x:v>
      </x:c>
      <x:c r="M28" s="45" t="n">
        <x:v>2</x:v>
      </x:c>
    </x:row>
    <x:row r="29">
      <x:c r="A29" s="33" t="str">
        <x:v>II</x:v>
      </x:c>
      <x:c r="B29" s="33" t="str">
        <x:v>D10-D36</x:v>
      </x:c>
      <x:c r="C29" s="51" t="str">
        <x:v>Доброкачественные новообразования</x:v>
      </x:c>
      <x:c r="D29" s="39" t="n">
        <x:v>87</x:v>
      </x:c>
      <x:c r="E29" s="45" t="n">
        <x:v>69</x:v>
      </x:c>
      <x:c r="F29" s="45" t="n">
        <x:v>61.5</x:v>
      </x:c>
      <x:c r="G29" s="45" t="n">
        <x:v>75.5</x:v>
      </x:c>
      <x:c r="H29" s="45" t="n">
        <x:v>68.41379310344827</x:v>
      </x:c>
      <x:c r="I29" s="45" t="n">
        <x:v>39</x:v>
      </x:c>
      <x:c r="J29" s="45" t="n">
        <x:v>93</x:v>
      </x:c>
      <x:c r="K29" s="45" t="n">
        <x:v>14</x:v>
      </x:c>
      <x:c r="L29" s="33" t="str">
        <x:v>False</x:v>
      </x:c>
      <x:c r="M29" s="45" t="n">
        <x:v>2</x:v>
      </x:c>
    </x:row>
    <x:row r="30">
      <x:c r="A30" s="33" t="str">
        <x:v>II</x:v>
      </x:c>
      <x:c r="B30" s="33" t="str">
        <x:v>D37-D48</x:v>
      </x:c>
      <x:c r="C30" s="51" t="str">
        <x:v>Новообразования неопределенного или неизвестного характера</x:v>
      </x:c>
      <x:c r="D30" s="39" t="n">
        <x:v>124</x:v>
      </x:c>
      <x:c r="E30" s="45" t="n">
        <x:v>69</x:v>
      </x:c>
      <x:c r="F30" s="45" t="n">
        <x:v>61</x:v>
      </x:c>
      <x:c r="G30" s="45" t="n">
        <x:v>77</x:v>
      </x:c>
      <x:c r="H30" s="45" t="n">
        <x:v>68.33870967741936</x:v>
      </x:c>
      <x:c r="I30" s="45" t="n">
        <x:v>23</x:v>
      </x:c>
      <x:c r="J30" s="45" t="n">
        <x:v>95</x:v>
      </x:c>
      <x:c r="K30" s="45" t="n">
        <x:v>16</x:v>
      </x:c>
      <x:c r="L30" s="33" t="str">
        <x:v>False</x:v>
      </x:c>
      <x:c r="M30" s="45" t="n">
        <x:v>2</x:v>
      </x:c>
    </x:row>
    <x:row r="31">
      <x:c r="A31" s="33" t="str">
        <x:v>III</x:v>
      </x:c>
      <x:c r="B31" s="33" t="str">
        <x:v>D50-D53</x:v>
      </x:c>
      <x:c r="C31" s="51" t="str">
        <x:v>Анемии, связанные с питанием</x:v>
      </x:c>
      <x:c r="D31" s="39" t="n">
        <x:v>3</x:v>
      </x:c>
      <x:c r="E31" s="45" t="n">
        <x:v>77</x:v>
      </x:c>
      <x:c r="F31" s="45" t="n">
        <x:v>72</x:v>
      </x:c>
      <x:c r="G31" s="45" t="n">
        <x:v>79</x:v>
      </x:c>
      <x:c r="H31" s="45" t="n">
        <x:v>75</x:v>
      </x:c>
      <x:c r="I31" s="45" t="n">
        <x:v>67</x:v>
      </x:c>
      <x:c r="J31" s="45" t="n">
        <x:v>81</x:v>
      </x:c>
      <x:c r="K31" s="45" t="n">
        <x:v>7</x:v>
      </x:c>
      <x:c r="L31" s="33" t="str">
        <x:v>True</x:v>
      </x:c>
      <x:c r="M31" s="45" t="n">
        <x:v>3</x:v>
      </x:c>
    </x:row>
    <x:row r="32">
      <x:c r="A32" s="33" t="str">
        <x:v>III</x:v>
      </x:c>
      <x:c r="B32" s="33" t="str">
        <x:v>D55-D59</x:v>
      </x:c>
      <x:c r="C32" s="51" t="str">
        <x:v>Гемолитические анемии</x:v>
      </x:c>
      <x:c r="D32" s="39" t="n">
        <x:v>3</x:v>
      </x:c>
      <x:c r="E32" s="45" t="n">
        <x:v>73</x:v>
      </x:c>
      <x:c r="F32" s="45" t="n">
        <x:v>67</x:v>
      </x:c>
      <x:c r="G32" s="45" t="n">
        <x:v>80.5</x:v>
      </x:c>
      <x:c r="H32" s="45" t="n">
        <x:v>74</x:v>
      </x:c>
      <x:c r="I32" s="45" t="n">
        <x:v>61</x:v>
      </x:c>
      <x:c r="J32" s="45" t="n">
        <x:v>88</x:v>
      </x:c>
      <x:c r="K32" s="45" t="n">
        <x:v>13.5</x:v>
      </x:c>
      <x:c r="L32" s="33" t="str">
        <x:v>True</x:v>
      </x:c>
      <x:c r="M32" s="45" t="n">
        <x:v>3</x:v>
      </x:c>
    </x:row>
    <x:row r="33">
      <x:c r="A33" s="33" t="str">
        <x:v>III</x:v>
      </x:c>
      <x:c r="B33" s="33" t="str">
        <x:v>D60-D64</x:v>
      </x:c>
      <x:c r="C33" s="51" t="str">
        <x:v>Апластические и другие анемии</x:v>
      </x:c>
      <x:c r="D33" s="39" t="n">
        <x:v>22</x:v>
      </x:c>
      <x:c r="E33" s="45" t="n">
        <x:v>71</x:v>
      </x:c>
      <x:c r="F33" s="45" t="n">
        <x:v>63.5</x:v>
      </x:c>
      <x:c r="G33" s="45" t="n">
        <x:v>78.75</x:v>
      </x:c>
      <x:c r="H33" s="45" t="n">
        <x:v>68.5909090909091</x:v>
      </x:c>
      <x:c r="I33" s="45" t="n">
        <x:v>15</x:v>
      </x:c>
      <x:c r="J33" s="45" t="n">
        <x:v>93</x:v>
      </x:c>
      <x:c r="K33" s="45" t="n">
        <x:v>15.25</x:v>
      </x:c>
      <x:c r="L33" s="33" t="str">
        <x:v>False</x:v>
      </x:c>
      <x:c r="M33" s="45" t="n">
        <x:v>3</x:v>
      </x:c>
    </x:row>
    <x:row r="34">
      <x:c r="A34" s="33" t="str">
        <x:v>III</x:v>
      </x:c>
      <x:c r="B34" s="33" t="str">
        <x:v>D65-D69</x:v>
      </x:c>
      <x:c r="C34" s="51" t="str">
        <x:v>Нарушения свёртывания крови</x:v>
      </x:c>
      <x:c r="D34" s="39" t="n">
        <x:v>26</x:v>
      </x:c>
      <x:c r="E34" s="45" t="n">
        <x:v>68.5</x:v>
      </x:c>
      <x:c r="F34" s="45" t="n">
        <x:v>60</x:v>
      </x:c>
      <x:c r="G34" s="45" t="n">
        <x:v>74.5</x:v>
      </x:c>
      <x:c r="H34" s="45" t="n">
        <x:v>67.46153846153847</x:v>
      </x:c>
      <x:c r="I34" s="45" t="n">
        <x:v>38</x:v>
      </x:c>
      <x:c r="J34" s="45" t="n">
        <x:v>89</x:v>
      </x:c>
      <x:c r="K34" s="45" t="n">
        <x:v>14.5</x:v>
      </x:c>
      <x:c r="L34" s="33" t="str">
        <x:v>False</x:v>
      </x:c>
      <x:c r="M34" s="45" t="n">
        <x:v>3</x:v>
      </x:c>
    </x:row>
    <x:row r="35">
      <x:c r="A35" s="33" t="str">
        <x:v>III</x:v>
      </x:c>
      <x:c r="B35" s="33" t="str">
        <x:v>D70-D77</x:v>
      </x:c>
      <x:c r="C35" s="51" t="str">
        <x:v>Другие болезни крови и кроветворных органов</x:v>
      </x:c>
      <x:c r="D35" s="39" t="n">
        <x:v>12</x:v>
      </x:c>
      <x:c r="E35" s="45" t="n">
        <x:v>69.5</x:v>
      </x:c>
      <x:c r="F35" s="45" t="n">
        <x:v>66.25</x:v>
      </x:c>
      <x:c r="G35" s="45" t="n">
        <x:v>73.75</x:v>
      </x:c>
      <x:c r="H35" s="45" t="n">
        <x:v>68.83333333333333</x:v>
      </x:c>
      <x:c r="I35" s="45" t="n">
        <x:v>35</x:v>
      </x:c>
      <x:c r="J35" s="45" t="n">
        <x:v>92</x:v>
      </x:c>
      <x:c r="K35" s="45" t="n">
        <x:v>7.5</x:v>
      </x:c>
      <x:c r="L35" s="33" t="str">
        <x:v>False</x:v>
      </x:c>
      <x:c r="M35" s="45" t="n">
        <x:v>3</x:v>
      </x:c>
    </x:row>
    <x:row r="36">
      <x:c r="A36" s="33" t="str">
        <x:v>III</x:v>
      </x:c>
      <x:c r="B36" s="33" t="str">
        <x:v>D80-D89</x:v>
      </x:c>
      <x:c r="C36" s="51" t="str">
        <x:v>Нарушения иммунного механизма</x:v>
      </x:c>
      <x:c r="D36" s="39" t="n">
        <x:v>5</x:v>
      </x:c>
      <x:c r="E36" s="45" t="n">
        <x:v>50</x:v>
      </x:c>
      <x:c r="F36" s="45" t="n">
        <x:v>44</x:v>
      </x:c>
      <x:c r="G36" s="45" t="n">
        <x:v>61</x:v>
      </x:c>
      <x:c r="H36" s="45" t="n">
        <x:v>52.8</x:v>
      </x:c>
      <x:c r="I36" s="45" t="n">
        <x:v>43</x:v>
      </x:c>
      <x:c r="J36" s="45" t="n">
        <x:v>66</x:v>
      </x:c>
      <x:c r="K36" s="45" t="n">
        <x:v>17</x:v>
      </x:c>
      <x:c r="L36" s="33" t="str">
        <x:v>False</x:v>
      </x:c>
      <x:c r="M36" s="45" t="n">
        <x:v>3</x:v>
      </x:c>
    </x:row>
    <x:row r="37">
      <x:c r="A37" s="33" t="str">
        <x:v>IV</x:v>
      </x:c>
      <x:c r="B37" s="33" t="str">
        <x:v>E00-E07</x:v>
      </x:c>
      <x:c r="C37" s="51" t="str">
        <x:v>Болезни щитовидной железы</x:v>
      </x:c>
      <x:c r="D37" s="39" t="n">
        <x:v>13</x:v>
      </x:c>
      <x:c r="E37" s="45" t="n">
        <x:v>65</x:v>
      </x:c>
      <x:c r="F37" s="45" t="n">
        <x:v>56</x:v>
      </x:c>
      <x:c r="G37" s="45" t="n">
        <x:v>72</x:v>
      </x:c>
      <x:c r="H37" s="45" t="n">
        <x:v>63.15384615384615</x:v>
      </x:c>
      <x:c r="I37" s="45" t="n">
        <x:v>43</x:v>
      </x:c>
      <x:c r="J37" s="45" t="n">
        <x:v>78</x:v>
      </x:c>
      <x:c r="K37" s="45" t="n">
        <x:v>16</x:v>
      </x:c>
      <x:c r="L37" s="33" t="str">
        <x:v>False</x:v>
      </x:c>
      <x:c r="M37" s="45" t="n">
        <x:v>4</x:v>
      </x:c>
    </x:row>
    <x:row r="38">
      <x:c r="A38" s="33" t="str">
        <x:v>IV</x:v>
      </x:c>
      <x:c r="B38" s="33" t="str">
        <x:v>E10-E14</x:v>
      </x:c>
      <x:c r="C38" s="51" t="str">
        <x:v>Сахарный диабет</x:v>
      </x:c>
      <x:c r="D38" s="39" t="n">
        <x:v>3124</x:v>
      </x:c>
      <x:c r="E38" s="45" t="n">
        <x:v>72</x:v>
      </x:c>
      <x:c r="F38" s="45" t="n">
        <x:v>66</x:v>
      </x:c>
      <x:c r="G38" s="45" t="n">
        <x:v>80</x:v>
      </x:c>
      <x:c r="H38" s="45" t="n">
        <x:v>71.91741357234315</x:v>
      </x:c>
      <x:c r="I38" s="45" t="n">
        <x:v>20</x:v>
      </x:c>
      <x:c r="J38" s="45" t="n">
        <x:v>102</x:v>
      </x:c>
      <x:c r="K38" s="45" t="n">
        <x:v>14</x:v>
      </x:c>
      <x:c r="L38" s="33" t="str">
        <x:v>False</x:v>
      </x:c>
      <x:c r="M38" s="45" t="n">
        <x:v>4</x:v>
      </x:c>
    </x:row>
    <x:row r="39">
      <x:c r="A39" s="33" t="str">
        <x:v>IV</x:v>
      </x:c>
      <x:c r="B39" s="33" t="str">
        <x:v>E20-E35</x:v>
      </x:c>
      <x:c r="C39" s="51" t="str">
        <x:v>Нарушения других эндокринных желез</x:v>
      </x:c>
      <x:c r="D39" s="39" t="n">
        <x:v>2</x:v>
      </x:c>
      <x:c r="E39" s="45" t="n">
        <x:v>75.5</x:v>
      </x:c>
      <x:c r="F39" s="45" t="n">
        <x:v>70.25</x:v>
      </x:c>
      <x:c r="G39" s="45" t="n">
        <x:v>80.75</x:v>
      </x:c>
      <x:c r="H39" s="45" t="n">
        <x:v>75.5</x:v>
      </x:c>
      <x:c r="I39" s="45" t="n">
        <x:v>65</x:v>
      </x:c>
      <x:c r="J39" s="45" t="n">
        <x:v>86</x:v>
      </x:c>
      <x:c r="K39" s="45" t="n">
        <x:v>10.5</x:v>
      </x:c>
      <x:c r="L39" s="33" t="str">
        <x:v>True</x:v>
      </x:c>
      <x:c r="M39" s="45" t="n">
        <x:v>4</x:v>
      </x:c>
    </x:row>
    <x:row r="40">
      <x:c r="A40" s="33" t="str">
        <x:v>IV</x:v>
      </x:c>
      <x:c r="B40" s="33" t="str">
        <x:v>E40-E46</x:v>
      </x:c>
      <x:c r="C40" s="51" t="str">
        <x:v>Недостаточность питания</x:v>
      </x:c>
      <x:c r="D40" s="39" t="n">
        <x:v>6</x:v>
      </x:c>
      <x:c r="E40" s="45" t="n">
        <x:v>72</x:v>
      </x:c>
      <x:c r="F40" s="45" t="n">
        <x:v>67.75</x:v>
      </x:c>
      <x:c r="G40" s="45" t="n">
        <x:v>74.75</x:v>
      </x:c>
      <x:c r="H40" s="45" t="n">
        <x:v>71.66666666666667</x:v>
      </x:c>
      <x:c r="I40" s="45" t="n">
        <x:v>65</x:v>
      </x:c>
      <x:c r="J40" s="45" t="n">
        <x:v>79</x:v>
      </x:c>
      <x:c r="K40" s="45" t="n">
        <x:v>7</x:v>
      </x:c>
      <x:c r="L40" s="33" t="str">
        <x:v>False</x:v>
      </x:c>
      <x:c r="M40" s="45" t="n">
        <x:v>4</x:v>
      </x:c>
    </x:row>
    <x:row r="41">
      <x:c r="A41" s="33" t="str">
        <x:v>IV</x:v>
      </x:c>
      <x:c r="B41" s="33" t="str">
        <x:v>E50-E64</x:v>
      </x:c>
      <x:c r="C41" s="51" t="str">
        <x:v>Другие виды недостаточности питания</x:v>
      </x:c>
      <x:c r="D41" s="39" t="n">
        <x:v>5</x:v>
      </x:c>
      <x:c r="E41" s="45" t="n">
        <x:v>69</x:v>
      </x:c>
      <x:c r="F41" s="45" t="n">
        <x:v>69</x:v>
      </x:c>
      <x:c r="G41" s="45" t="n">
        <x:v>71</x:v>
      </x:c>
      <x:c r="H41" s="45" t="n">
        <x:v>67.8</x:v>
      </x:c>
      <x:c r="I41" s="45" t="n">
        <x:v>56</x:v>
      </x:c>
      <x:c r="J41" s="45" t="n">
        <x:v>74</x:v>
      </x:c>
      <x:c r="K41" s="45" t="n">
        <x:v>2</x:v>
      </x:c>
      <x:c r="L41" s="33" t="str">
        <x:v>False</x:v>
      </x:c>
      <x:c r="M41" s="45" t="n">
        <x:v>4</x:v>
      </x:c>
    </x:row>
    <x:row r="42">
      <x:c r="A42" s="33" t="str">
        <x:v>IV</x:v>
      </x:c>
      <x:c r="B42" s="33" t="str">
        <x:v>E65-E68</x:v>
      </x:c>
      <x:c r="C42" s="51" t="str">
        <x:v>Ожирение и другие виды избыточности питания</x:v>
      </x:c>
      <x:c r="D42" s="39" t="n">
        <x:v>19</x:v>
      </x:c>
      <x:c r="E42" s="45" t="n">
        <x:v>64</x:v>
      </x:c>
      <x:c r="F42" s="45" t="n">
        <x:v>58.5</x:v>
      </x:c>
      <x:c r="G42" s="45" t="n">
        <x:v>67.5</x:v>
      </x:c>
      <x:c r="H42" s="45" t="n">
        <x:v>60.73684210526316</x:v>
      </x:c>
      <x:c r="I42" s="45" t="n">
        <x:v>27</x:v>
      </x:c>
      <x:c r="J42" s="45" t="n">
        <x:v>74</x:v>
      </x:c>
      <x:c r="K42" s="45" t="n">
        <x:v>9</x:v>
      </x:c>
      <x:c r="L42" s="33" t="str">
        <x:v>False</x:v>
      </x:c>
      <x:c r="M42" s="45" t="n">
        <x:v>4</x:v>
      </x:c>
    </x:row>
    <x:row r="43">
      <x:c r="A43" s="33" t="str">
        <x:v>IV</x:v>
      </x:c>
      <x:c r="B43" s="33" t="str">
        <x:v>E70-E90</x:v>
      </x:c>
      <x:c r="C43" s="51" t="str">
        <x:v>Нарушения обмена веществ</x:v>
      </x:c>
      <x:c r="D43" s="39" t="n">
        <x:v>14</x:v>
      </x:c>
      <x:c r="E43" s="45" t="n">
        <x:v>18.5</x:v>
      </x:c>
      <x:c r="F43" s="45" t="n">
        <x:v>6</x:v>
      </x:c>
      <x:c r="G43" s="45" t="n">
        <x:v>38.5</x:v>
      </x:c>
      <x:c r="H43" s="45" t="n">
        <x:v>25.071428571428573</x:v>
      </x:c>
      <x:c r="I43" s="45" t="n">
        <x:v>1</x:v>
      </x:c>
      <x:c r="J43" s="45" t="n">
        <x:v>70</x:v>
      </x:c>
      <x:c r="K43" s="45" t="n">
        <x:v>32.5</x:v>
      </x:c>
      <x:c r="L43" s="33" t="str">
        <x:v>False</x:v>
      </x:c>
      <x:c r="M43" s="45" t="n">
        <x:v>4</x:v>
      </x:c>
    </x:row>
    <x:row r="44">
      <x:c r="A44" s="33" t="str">
        <x:v>V</x:v>
      </x:c>
      <x:c r="B44" s="33" t="str">
        <x:v>F00-F09</x:v>
      </x:c>
      <x:c r="C44" s="51" t="str">
        <x:v>Органические, включая симптоматические, психические расстройства</x:v>
      </x:c>
      <x:c r="D44" s="39" t="n">
        <x:v>313</x:v>
      </x:c>
      <x:c r="E44" s="45" t="n">
        <x:v>80</x:v>
      </x:c>
      <x:c r="F44" s="45" t="n">
        <x:v>72</x:v>
      </x:c>
      <x:c r="G44" s="45" t="n">
        <x:v>86</x:v>
      </x:c>
      <x:c r="H44" s="45" t="n">
        <x:v>78.60383386581469</x:v>
      </x:c>
      <x:c r="I44" s="45" t="n">
        <x:v>48</x:v>
      </x:c>
      <x:c r="J44" s="45" t="n">
        <x:v>99</x:v>
      </x:c>
      <x:c r="K44" s="45" t="n">
        <x:v>14</x:v>
      </x:c>
      <x:c r="L44" s="33" t="str">
        <x:v>False</x:v>
      </x:c>
      <x:c r="M44" s="45" t="n">
        <x:v>5</x:v>
      </x:c>
    </x:row>
    <x:row r="45">
      <x:c r="A45" s="33" t="str">
        <x:v>V</x:v>
      </x:c>
      <x:c r="B45" s="33" t="str">
        <x:v>F10-F19</x:v>
      </x:c>
      <x:c r="C45" s="51" t="str">
        <x:v>Психические расстройства и расстройства поведения, связанные с употреблением психоактивных веществ</x:v>
      </x:c>
      <x:c r="D45" s="39" t="n">
        <x:v>90</x:v>
      </x:c>
      <x:c r="E45" s="45" t="n">
        <x:v>56</x:v>
      </x:c>
      <x:c r="F45" s="45" t="n">
        <x:v>48.25</x:v>
      </x:c>
      <x:c r="G45" s="45" t="n">
        <x:v>62.75</x:v>
      </x:c>
      <x:c r="H45" s="45" t="n">
        <x:v>55.733333333333334</x:v>
      </x:c>
      <x:c r="I45" s="45" t="n">
        <x:v>22</x:v>
      </x:c>
      <x:c r="J45" s="45" t="n">
        <x:v>86</x:v>
      </x:c>
      <x:c r="K45" s="45" t="n">
        <x:v>14.5</x:v>
      </x:c>
      <x:c r="L45" s="33" t="str">
        <x:v>False</x:v>
      </x:c>
      <x:c r="M45" s="45" t="n">
        <x:v>5</x:v>
      </x:c>
    </x:row>
    <x:row r="46">
      <x:c r="A46" s="33" t="str">
        <x:v>V</x:v>
      </x:c>
      <x:c r="B46" s="33" t="str">
        <x:v>F20-F29</x:v>
      </x:c>
      <x:c r="C46" s="51" t="str">
        <x:v>Шизофрения, шизотипические и бредовые расстройства</x:v>
      </x:c>
      <x:c r="D46" s="39" t="n">
        <x:v>1</x:v>
      </x:c>
      <x:c r="E46" s="45" t="n">
        <x:v>73</x:v>
      </x:c>
      <x:c r="F46" s="45" t="n">
        <x:v>73</x:v>
      </x:c>
      <x:c r="G46" s="45" t="n">
        <x:v>73</x:v>
      </x:c>
      <x:c r="H46" s="45" t="n">
        <x:v>73</x:v>
      </x:c>
      <x:c r="I46" s="45" t="n">
        <x:v>73</x:v>
      </x:c>
      <x:c r="J46" s="45" t="n">
        <x:v>73</x:v>
      </x:c>
      <x:c r="K46" s="45" t="n">
        <x:v>0</x:v>
      </x:c>
      <x:c r="L46" s="33" t="str">
        <x:v>True</x:v>
      </x:c>
      <x:c r="M46" s="45" t="n">
        <x:v>5</x:v>
      </x:c>
    </x:row>
    <x:row r="47">
      <x:c r="A47" s="33" t="str">
        <x:v>V</x:v>
      </x:c>
      <x:c r="B47" s="33" t="str">
        <x:v>F70-F79</x:v>
      </x:c>
      <x:c r="C47" s="51" t="str">
        <x:v>Умственная отсталость</x:v>
      </x:c>
      <x:c r="D47" s="39" t="n">
        <x:v>1</x:v>
      </x:c>
      <x:c r="E47" s="45" t="n">
        <x:v>28</x:v>
      </x:c>
      <x:c r="F47" s="45" t="n">
        <x:v>28</x:v>
      </x:c>
      <x:c r="G47" s="45" t="n">
        <x:v>28</x:v>
      </x:c>
      <x:c r="H47" s="45" t="n">
        <x:v>28</x:v>
      </x:c>
      <x:c r="I47" s="45" t="n">
        <x:v>28</x:v>
      </x:c>
      <x:c r="J47" s="45" t="n">
        <x:v>28</x:v>
      </x:c>
      <x:c r="K47" s="45" t="n">
        <x:v>0</x:v>
      </x:c>
      <x:c r="L47" s="33" t="str">
        <x:v>True</x:v>
      </x:c>
      <x:c r="M47" s="45" t="n">
        <x:v>5</x:v>
      </x:c>
    </x:row>
    <x:row r="48">
      <x:c r="A48" s="33" t="str">
        <x:v>VI</x:v>
      </x:c>
      <x:c r="B48" s="33" t="str">
        <x:v>G00-G09</x:v>
      </x:c>
      <x:c r="C48" s="51" t="str">
        <x:v>Воспалительные болезни центральной нервной ситемы</x:v>
      </x:c>
      <x:c r="D48" s="39" t="n">
        <x:v>83</x:v>
      </x:c>
      <x:c r="E48" s="45" t="n">
        <x:v>61</x:v>
      </x:c>
      <x:c r="F48" s="45" t="n">
        <x:v>42</x:v>
      </x:c>
      <x:c r="G48" s="45" t="n">
        <x:v>69.5</x:v>
      </x:c>
      <x:c r="H48" s="45" t="n">
        <x:v>56.24096385542169</x:v>
      </x:c>
      <x:c r="I48" s="45" t="n">
        <x:v>1</x:v>
      </x:c>
      <x:c r="J48" s="45" t="n">
        <x:v>92</x:v>
      </x:c>
      <x:c r="K48" s="45" t="n">
        <x:v>27.5</x:v>
      </x:c>
      <x:c r="L48" s="33" t="str">
        <x:v>False</x:v>
      </x:c>
      <x:c r="M48" s="45" t="n">
        <x:v>6</x:v>
      </x:c>
    </x:row>
    <x:row r="49">
      <x:c r="A49" s="33" t="str">
        <x:v>VI</x:v>
      </x:c>
      <x:c r="B49" s="33" t="str">
        <x:v>G10-G14</x:v>
      </x:c>
      <x:c r="C49" s="51" t="str">
        <x:v>Системные атрофии, поражающие преимущественно центральную нервную систему</x:v>
      </x:c>
      <x:c r="D49" s="39" t="n">
        <x:v>61</x:v>
      </x:c>
      <x:c r="E49" s="45" t="n">
        <x:v>61</x:v>
      </x:c>
      <x:c r="F49" s="45" t="n">
        <x:v>54</x:v>
      </x:c>
      <x:c r="G49" s="45" t="n">
        <x:v>66</x:v>
      </x:c>
      <x:c r="H49" s="45" t="n">
        <x:v>56.78688524590164</x:v>
      </x:c>
      <x:c r="I49" s="45" t="n">
        <x:v>1</x:v>
      </x:c>
      <x:c r="J49" s="45" t="n">
        <x:v>77</x:v>
      </x:c>
      <x:c r="K49" s="45" t="n">
        <x:v>12</x:v>
      </x:c>
      <x:c r="L49" s="33" t="str">
        <x:v>False</x:v>
      </x:c>
      <x:c r="M49" s="45" t="n">
        <x:v>6</x:v>
      </x:c>
    </x:row>
    <x:row r="50">
      <x:c r="A50" s="33" t="str">
        <x:v>VI</x:v>
      </x:c>
      <x:c r="B50" s="33" t="str">
        <x:v>G20-G26</x:v>
      </x:c>
      <x:c r="C50" s="51" t="str">
        <x:v>Экстрапирамидные и другие двигательные нарушения</x:v>
      </x:c>
      <x:c r="D50" s="39" t="n">
        <x:v>180</x:v>
      </x:c>
      <x:c r="E50" s="45" t="n">
        <x:v>74</x:v>
      </x:c>
      <x:c r="F50" s="45" t="n">
        <x:v>69</x:v>
      </x:c>
      <x:c r="G50" s="45" t="n">
        <x:v>82</x:v>
      </x:c>
      <x:c r="H50" s="45" t="n">
        <x:v>74.34444444444445</x:v>
      </x:c>
      <x:c r="I50" s="45" t="n">
        <x:v>18</x:v>
      </x:c>
      <x:c r="J50" s="45" t="n">
        <x:v>97</x:v>
      </x:c>
      <x:c r="K50" s="45" t="n">
        <x:v>13</x:v>
      </x:c>
      <x:c r="L50" s="33" t="str">
        <x:v>False</x:v>
      </x:c>
      <x:c r="M50" s="45" t="n">
        <x:v>6</x:v>
      </x:c>
    </x:row>
    <x:row r="51">
      <x:c r="A51" s="33" t="str">
        <x:v>VI</x:v>
      </x:c>
      <x:c r="B51" s="33" t="str">
        <x:v>G30-G32</x:v>
      </x:c>
      <x:c r="C51" s="51" t="str">
        <x:v>Другие дегенеративные болезни центральной нервной системы</x:v>
      </x:c>
      <x:c r="D51" s="39" t="n">
        <x:v>3022</x:v>
      </x:c>
      <x:c r="E51" s="45" t="n">
        <x:v>81</x:v>
      </x:c>
      <x:c r="F51" s="45" t="n">
        <x:v>72</x:v>
      </x:c>
      <x:c r="G51" s="45" t="n">
        <x:v>88</x:v>
      </x:c>
      <x:c r="H51" s="45" t="n">
        <x:v>78.91661151555262</x:v>
      </x:c>
      <x:c r="I51" s="45" t="n">
        <x:v>6</x:v>
      </x:c>
      <x:c r="J51" s="45" t="n">
        <x:v>103</x:v>
      </x:c>
      <x:c r="K51" s="45" t="n">
        <x:v>16</x:v>
      </x:c>
      <x:c r="L51" s="33" t="str">
        <x:v>False</x:v>
      </x:c>
      <x:c r="M51" s="45" t="n">
        <x:v>6</x:v>
      </x:c>
    </x:row>
    <x:row r="52">
      <x:c r="A52" s="33" t="str">
        <x:v>VI</x:v>
      </x:c>
      <x:c r="B52" s="33" t="str">
        <x:v>G35-G37</x:v>
      </x:c>
      <x:c r="C52" s="51" t="str">
        <x:v>Демиелинизирующие болезни центральной нервной системы</x:v>
      </x:c>
      <x:c r="D52" s="39" t="n">
        <x:v>24</x:v>
      </x:c>
      <x:c r="E52" s="45" t="n">
        <x:v>56</x:v>
      </x:c>
      <x:c r="F52" s="45" t="n">
        <x:v>50.75</x:v>
      </x:c>
      <x:c r="G52" s="45" t="n">
        <x:v>63</x:v>
      </x:c>
      <x:c r="H52" s="45" t="n">
        <x:v>56.166666666666664</x:v>
      </x:c>
      <x:c r="I52" s="45" t="n">
        <x:v>35</x:v>
      </x:c>
      <x:c r="J52" s="45" t="n">
        <x:v>77</x:v>
      </x:c>
      <x:c r="K52" s="45" t="n">
        <x:v>12.25</x:v>
      </x:c>
      <x:c r="L52" s="33" t="str">
        <x:v>False</x:v>
      </x:c>
      <x:c r="M52" s="45" t="n">
        <x:v>6</x:v>
      </x:c>
    </x:row>
    <x:row r="53">
      <x:c r="A53" s="33" t="str">
        <x:v>VI</x:v>
      </x:c>
      <x:c r="B53" s="33" t="str">
        <x:v>G40-G47</x:v>
      </x:c>
      <x:c r="C53" s="51" t="str">
        <x:v>Эпизодические и пароксизмальные расстройства</x:v>
      </x:c>
      <x:c r="D53" s="39" t="n">
        <x:v>56</x:v>
      </x:c>
      <x:c r="E53" s="45" t="n">
        <x:v>46</x:v>
      </x:c>
      <x:c r="F53" s="45" t="n">
        <x:v>38</x:v>
      </x:c>
      <x:c r="G53" s="45" t="n">
        <x:v>63</x:v>
      </x:c>
      <x:c r="H53" s="45" t="n">
        <x:v>49.05357142857143</x:v>
      </x:c>
      <x:c r="I53" s="45" t="n">
        <x:v>5</x:v>
      </x:c>
      <x:c r="J53" s="45" t="n">
        <x:v>79</x:v>
      </x:c>
      <x:c r="K53" s="45" t="n">
        <x:v>25</x:v>
      </x:c>
      <x:c r="L53" s="33" t="str">
        <x:v>False</x:v>
      </x:c>
      <x:c r="M53" s="45" t="n">
        <x:v>6</x:v>
      </x:c>
    </x:row>
    <x:row r="54">
      <x:c r="A54" s="33" t="str">
        <x:v>VI</x:v>
      </x:c>
      <x:c r="B54" s="33" t="str">
        <x:v>G60-G64</x:v>
      </x:c>
      <x:c r="C54" s="51" t="str">
        <x:v>Полиневропатии и другие поражения периферической нервной системы</x:v>
      </x:c>
      <x:c r="D54" s="39" t="n">
        <x:v>5</x:v>
      </x:c>
      <x:c r="E54" s="45" t="n">
        <x:v>59</x:v>
      </x:c>
      <x:c r="F54" s="45" t="n">
        <x:v>59</x:v>
      </x:c>
      <x:c r="G54" s="45" t="n">
        <x:v>70</x:v>
      </x:c>
      <x:c r="H54" s="45" t="n">
        <x:v>63.2</x:v>
      </x:c>
      <x:c r="I54" s="45" t="n">
        <x:v>47</x:v>
      </x:c>
      <x:c r="J54" s="45" t="n">
        <x:v>81</x:v>
      </x:c>
      <x:c r="K54" s="45" t="n">
        <x:v>11</x:v>
      </x:c>
      <x:c r="L54" s="33" t="str">
        <x:v>False</x:v>
      </x:c>
      <x:c r="M54" s="45" t="n">
        <x:v>6</x:v>
      </x:c>
    </x:row>
    <x:row r="55">
      <x:c r="A55" s="33" t="str">
        <x:v>VI</x:v>
      </x:c>
      <x:c r="B55" s="33" t="str">
        <x:v>G70-G73</x:v>
      </x:c>
      <x:c r="C55" s="51" t="str">
        <x:v>Болезни нервно-мышечного синапса и мышц</x:v>
      </x:c>
      <x:c r="D55" s="39" t="n">
        <x:v>21</x:v>
      </x:c>
      <x:c r="E55" s="45" t="n">
        <x:v>56</x:v>
      </x:c>
      <x:c r="F55" s="45" t="n">
        <x:v>38</x:v>
      </x:c>
      <x:c r="G55" s="45" t="n">
        <x:v>68</x:v>
      </x:c>
      <x:c r="H55" s="45" t="n">
        <x:v>52.04761904761905</x:v>
      </x:c>
      <x:c r="I55" s="45" t="n">
        <x:v>13</x:v>
      </x:c>
      <x:c r="J55" s="45" t="n">
        <x:v>81</x:v>
      </x:c>
      <x:c r="K55" s="45" t="n">
        <x:v>30</x:v>
      </x:c>
      <x:c r="L55" s="33" t="str">
        <x:v>False</x:v>
      </x:c>
      <x:c r="M55" s="45" t="n">
        <x:v>6</x:v>
      </x:c>
    </x:row>
    <x:row r="56">
      <x:c r="A56" s="33" t="str">
        <x:v>VI</x:v>
      </x:c>
      <x:c r="B56" s="33" t="str">
        <x:v>G80-G83</x:v>
      </x:c>
      <x:c r="C56" s="51" t="str">
        <x:v>Церебральный паралич и другие паралитические синдромы</x:v>
      </x:c>
      <x:c r="D56" s="39" t="n">
        <x:v>19</x:v>
      </x:c>
      <x:c r="E56" s="45" t="n">
        <x:v>22</x:v>
      </x:c>
      <x:c r="F56" s="45" t="n">
        <x:v>14</x:v>
      </x:c>
      <x:c r="G56" s="45" t="n">
        <x:v>30</x:v>
      </x:c>
      <x:c r="H56" s="45" t="n">
        <x:v>23.473684210526315</x:v>
      </x:c>
      <x:c r="I56" s="45" t="n">
        <x:v>5</x:v>
      </x:c>
      <x:c r="J56" s="45" t="n">
        <x:v>52</x:v>
      </x:c>
      <x:c r="K56" s="45" t="n">
        <x:v>16</x:v>
      </x:c>
      <x:c r="L56" s="33" t="str">
        <x:v>False</x:v>
      </x:c>
      <x:c r="M56" s="45" t="n">
        <x:v>6</x:v>
      </x:c>
    </x:row>
    <x:row r="57">
      <x:c r="A57" s="33" t="str">
        <x:v>VI</x:v>
      </x:c>
      <x:c r="B57" s="33" t="str">
        <x:v>G90-G99</x:v>
      </x:c>
      <x:c r="C57" s="51" t="str">
        <x:v>Другие нарушения нервной системы</x:v>
      </x:c>
      <x:c r="D57" s="39" t="n">
        <x:v>1639</x:v>
      </x:c>
      <x:c r="E57" s="45" t="n">
        <x:v>73</x:v>
      </x:c>
      <x:c r="F57" s="45" t="n">
        <x:v>66.5</x:v>
      </x:c>
      <x:c r="G57" s="45" t="n">
        <x:v>82</x:v>
      </x:c>
      <x:c r="H57" s="45" t="n">
        <x:v>73.01037217815741</x:v>
      </x:c>
      <x:c r="I57" s="45" t="n">
        <x:v>0</x:v>
      </x:c>
      <x:c r="J57" s="45" t="n">
        <x:v>98</x:v>
      </x:c>
      <x:c r="K57" s="45" t="n">
        <x:v>15.5</x:v>
      </x:c>
      <x:c r="L57" s="33" t="str">
        <x:v>False</x:v>
      </x:c>
      <x:c r="M57" s="45" t="n">
        <x:v>6</x:v>
      </x:c>
    </x:row>
    <x:row r="58">
      <x:c r="A58" s="33" t="str">
        <x:v>VIII</x:v>
      </x:c>
      <x:c r="B58" s="33" t="str">
        <x:v>H60-H62</x:v>
      </x:c>
      <x:c r="C58" s="51" t="str">
        <x:v>Болезни наружного уха</x:v>
      </x:c>
      <x:c r="D58" s="39" t="n">
        <x:v>1</x:v>
      </x:c>
      <x:c r="E58" s="45" t="n">
        <x:v>86</x:v>
      </x:c>
      <x:c r="F58" s="45" t="n">
        <x:v>86</x:v>
      </x:c>
      <x:c r="G58" s="45" t="n">
        <x:v>86</x:v>
      </x:c>
      <x:c r="H58" s="45" t="n">
        <x:v>86</x:v>
      </x:c>
      <x:c r="I58" s="45" t="n">
        <x:v>86</x:v>
      </x:c>
      <x:c r="J58" s="45" t="n">
        <x:v>86</x:v>
      </x:c>
      <x:c r="K58" s="45" t="n">
        <x:v>0</x:v>
      </x:c>
      <x:c r="L58" s="33" t="str">
        <x:v>True</x:v>
      </x:c>
      <x:c r="M58" s="45" t="n">
        <x:v>8</x:v>
      </x:c>
    </x:row>
    <x:row r="59">
      <x:c r="A59" s="33" t="str">
        <x:v>VIII</x:v>
      </x:c>
      <x:c r="B59" s="33" t="str">
        <x:v>H65-H75</x:v>
      </x:c>
      <x:c r="C59" s="51" t="str">
        <x:v>Болезни среднего уха и сосцевидного отростка</x:v>
      </x:c>
      <x:c r="D59" s="39" t="n">
        <x:v>9</x:v>
      </x:c>
      <x:c r="E59" s="45" t="n">
        <x:v>57</x:v>
      </x:c>
      <x:c r="F59" s="45" t="n">
        <x:v>54</x:v>
      </x:c>
      <x:c r="G59" s="45" t="n">
        <x:v>71</x:v>
      </x:c>
      <x:c r="H59" s="45" t="n">
        <x:v>55.666666666666664</x:v>
      </x:c>
      <x:c r="I59" s="45" t="n">
        <x:v>26</x:v>
      </x:c>
      <x:c r="J59" s="45" t="n">
        <x:v>78</x:v>
      </x:c>
      <x:c r="K59" s="45" t="n">
        <x:v>17</x:v>
      </x:c>
      <x:c r="L59" s="33" t="str">
        <x:v>False</x:v>
      </x:c>
      <x:c r="M59" s="45" t="n">
        <x:v>8</x:v>
      </x:c>
    </x:row>
    <x:row r="60">
      <x:c r="A60" s="33" t="str">
        <x:v>IX</x:v>
      </x:c>
      <x:c r="B60" s="33" t="str">
        <x:v>I05-I09</x:v>
      </x:c>
      <x:c r="C60" s="51" t="str">
        <x:v>Хронические ревматические болезни сердца</x:v>
      </x:c>
      <x:c r="D60" s="39" t="n">
        <x:v>67</x:v>
      </x:c>
      <x:c r="E60" s="45" t="n">
        <x:v>70</x:v>
      </x:c>
      <x:c r="F60" s="45" t="n">
        <x:v>64</x:v>
      </x:c>
      <x:c r="G60" s="45" t="n">
        <x:v>79</x:v>
      </x:c>
      <x:c r="H60" s="45" t="n">
        <x:v>69.80597014925372</x:v>
      </x:c>
      <x:c r="I60" s="45" t="n">
        <x:v>32</x:v>
      </x:c>
      <x:c r="J60" s="45" t="n">
        <x:v>97</x:v>
      </x:c>
      <x:c r="K60" s="45" t="n">
        <x:v>15</x:v>
      </x:c>
      <x:c r="L60" s="33" t="str">
        <x:v>False</x:v>
      </x:c>
      <x:c r="M60" s="45" t="n">
        <x:v>9</x:v>
      </x:c>
    </x:row>
    <x:row r="61">
      <x:c r="A61" s="33" t="str">
        <x:v>IX</x:v>
      </x:c>
      <x:c r="B61" s="33" t="str">
        <x:v>I10-I15</x:v>
      </x:c>
      <x:c r="C61" s="51" t="str">
        <x:v>Болезни, характеризующиеся повышенным кровяным давлением</x:v>
      </x:c>
      <x:c r="D61" s="39" t="n">
        <x:v>129</x:v>
      </x:c>
      <x:c r="E61" s="45" t="n">
        <x:v>65</x:v>
      </x:c>
      <x:c r="F61" s="45" t="n">
        <x:v>59</x:v>
      </x:c>
      <x:c r="G61" s="45" t="n">
        <x:v>75</x:v>
      </x:c>
      <x:c r="H61" s="45" t="n">
        <x:v>66.6046511627907</x:v>
      </x:c>
      <x:c r="I61" s="45" t="n">
        <x:v>29</x:v>
      </x:c>
      <x:c r="J61" s="45" t="n">
        <x:v>98</x:v>
      </x:c>
      <x:c r="K61" s="45" t="n">
        <x:v>16</x:v>
      </x:c>
      <x:c r="L61" s="33" t="str">
        <x:v>False</x:v>
      </x:c>
      <x:c r="M61" s="45" t="n">
        <x:v>9</x:v>
      </x:c>
    </x:row>
    <x:row r="62">
      <x:c r="A62" s="33" t="str">
        <x:v>IX</x:v>
      </x:c>
      <x:c r="B62" s="33" t="str">
        <x:v>I20-I25</x:v>
      </x:c>
      <x:c r="C62" s="51" t="str">
        <x:v>Ишемическая болезнь сердца</x:v>
      </x:c>
      <x:c r="D62" s="39" t="n">
        <x:v>6849</x:v>
      </x:c>
      <x:c r="E62" s="45" t="n">
        <x:v>70</x:v>
      </x:c>
      <x:c r="F62" s="45" t="n">
        <x:v>62</x:v>
      </x:c>
      <x:c r="G62" s="45" t="n">
        <x:v>80</x:v>
      </x:c>
      <x:c r="H62" s="45" t="n">
        <x:v>69.91604613812235</x:v>
      </x:c>
      <x:c r="I62" s="45" t="n">
        <x:v>17</x:v>
      </x:c>
      <x:c r="J62" s="45" t="n">
        <x:v>102</x:v>
      </x:c>
      <x:c r="K62" s="45" t="n">
        <x:v>18</x:v>
      </x:c>
      <x:c r="L62" s="33" t="str">
        <x:v>False</x:v>
      </x:c>
      <x:c r="M62" s="45" t="n">
        <x:v>9</x:v>
      </x:c>
    </x:row>
    <x:row r="63">
      <x:c r="A63" s="33" t="str">
        <x:v>IX</x:v>
      </x:c>
      <x:c r="B63" s="33" t="str">
        <x:v>I26-I28</x:v>
      </x:c>
      <x:c r="C63" s="51" t="str">
        <x:v>Легочное сердце и нарушения легочного кровообращения</x:v>
      </x:c>
      <x:c r="D63" s="39" t="n">
        <x:v>20</x:v>
      </x:c>
      <x:c r="E63" s="45" t="n">
        <x:v>66.5</x:v>
      </x:c>
      <x:c r="F63" s="45" t="n">
        <x:v>52.5</x:v>
      </x:c>
      <x:c r="G63" s="45" t="n">
        <x:v>70.25</x:v>
      </x:c>
      <x:c r="H63" s="45" t="n">
        <x:v>62.2</x:v>
      </x:c>
      <x:c r="I63" s="45" t="n">
        <x:v>21</x:v>
      </x:c>
      <x:c r="J63" s="45" t="n">
        <x:v>91</x:v>
      </x:c>
      <x:c r="K63" s="45" t="n">
        <x:v>17.75</x:v>
      </x:c>
      <x:c r="L63" s="33" t="str">
        <x:v>False</x:v>
      </x:c>
      <x:c r="M63" s="45" t="n">
        <x:v>9</x:v>
      </x:c>
    </x:row>
    <x:row r="64">
      <x:c r="A64" s="33" t="str">
        <x:v>IX</x:v>
      </x:c>
      <x:c r="B64" s="33" t="str">
        <x:v>I30-I52</x:v>
      </x:c>
      <x:c r="C64" s="51" t="str">
        <x:v>Другие болезни сердца</x:v>
      </x:c>
      <x:c r="D64" s="39" t="n">
        <x:v>2059</x:v>
      </x:c>
      <x:c r="E64" s="45" t="n">
        <x:v>64</x:v>
      </x:c>
      <x:c r="F64" s="45" t="n">
        <x:v>52</x:v>
      </x:c>
      <x:c r="G64" s="45" t="n">
        <x:v>75</x:v>
      </x:c>
      <x:c r="H64" s="45" t="n">
        <x:v>63.26323457989315</x:v>
      </x:c>
      <x:c r="I64" s="45" t="n">
        <x:v>8</x:v>
      </x:c>
      <x:c r="J64" s="45" t="n">
        <x:v>100</x:v>
      </x:c>
      <x:c r="K64" s="45" t="n">
        <x:v>23</x:v>
      </x:c>
      <x:c r="L64" s="33" t="str">
        <x:v>False</x:v>
      </x:c>
      <x:c r="M64" s="45" t="n">
        <x:v>9</x:v>
      </x:c>
    </x:row>
    <x:row r="65">
      <x:c r="A65" s="33" t="str">
        <x:v>IX</x:v>
      </x:c>
      <x:c r="B65" s="33" t="str">
        <x:v>I60-I69</x:v>
      </x:c>
      <x:c r="C65" s="51" t="str">
        <x:v>Цереброваскулярные болезни</x:v>
      </x:c>
      <x:c r="D65" s="39" t="n">
        <x:v>6022</x:v>
      </x:c>
      <x:c r="E65" s="45" t="n">
        <x:v>71</x:v>
      </x:c>
      <x:c r="F65" s="45" t="n">
        <x:v>62</x:v>
      </x:c>
      <x:c r="G65" s="45" t="n">
        <x:v>81</x:v>
      </x:c>
      <x:c r="H65" s="45" t="n">
        <x:v>70.64264363998672</x:v>
      </x:c>
      <x:c r="I65" s="45" t="n">
        <x:v>15</x:v>
      </x:c>
      <x:c r="J65" s="45" t="n">
        <x:v>105</x:v>
      </x:c>
      <x:c r="K65" s="45" t="n">
        <x:v>19</x:v>
      </x:c>
      <x:c r="L65" s="33" t="str">
        <x:v>False</x:v>
      </x:c>
      <x:c r="M65" s="45" t="n">
        <x:v>9</x:v>
      </x:c>
    </x:row>
    <x:row r="66">
      <x:c r="A66" s="33" t="str">
        <x:v>IX</x:v>
      </x:c>
      <x:c r="B66" s="33" t="str">
        <x:v>I70-I79</x:v>
      </x:c>
      <x:c r="C66" s="51" t="str">
        <x:v>Болезни артерий, артериол и капилляров</x:v>
      </x:c>
      <x:c r="D66" s="39" t="n">
        <x:v>1044</x:v>
      </x:c>
      <x:c r="E66" s="45" t="n">
        <x:v>72</x:v>
      </x:c>
      <x:c r="F66" s="45" t="n">
        <x:v>66</x:v>
      </x:c>
      <x:c r="G66" s="45" t="n">
        <x:v>82</x:v>
      </x:c>
      <x:c r="H66" s="45" t="n">
        <x:v>72.59482758620689</x:v>
      </x:c>
      <x:c r="I66" s="45" t="n">
        <x:v>27</x:v>
      </x:c>
      <x:c r="J66" s="45" t="n">
        <x:v>100</x:v>
      </x:c>
      <x:c r="K66" s="45" t="n">
        <x:v>16</x:v>
      </x:c>
      <x:c r="L66" s="33" t="str">
        <x:v>False</x:v>
      </x:c>
      <x:c r="M66" s="45" t="n">
        <x:v>9</x:v>
      </x:c>
    </x:row>
    <x:row r="67">
      <x:c r="A67" s="33" t="str">
        <x:v>IX</x:v>
      </x:c>
      <x:c r="B67" s="33" t="str">
        <x:v>I80-I89</x:v>
      </x:c>
      <x:c r="C67" s="51" t="str">
        <x:v>Болезни вен, лимфатических сосудов и лимфатических узлов, не классифицированные в других рубриках</x:v>
      </x:c>
      <x:c r="D67" s="39" t="n">
        <x:v>1043</x:v>
      </x:c>
      <x:c r="E67" s="45" t="n">
        <x:v>70</x:v>
      </x:c>
      <x:c r="F67" s="45" t="n">
        <x:v>62</x:v>
      </x:c>
      <x:c r="G67" s="45" t="n">
        <x:v>80</x:v>
      </x:c>
      <x:c r="H67" s="45" t="n">
        <x:v>70.02972195589645</x:v>
      </x:c>
      <x:c r="I67" s="45" t="n">
        <x:v>19</x:v>
      </x:c>
      <x:c r="J67" s="45" t="n">
        <x:v>97</x:v>
      </x:c>
      <x:c r="K67" s="45" t="n">
        <x:v>18</x:v>
      </x:c>
      <x:c r="L67" s="33" t="str">
        <x:v>False</x:v>
      </x:c>
      <x:c r="M67" s="45" t="n">
        <x:v>9</x:v>
      </x:c>
    </x:row>
    <x:row r="68">
      <x:c r="A68" s="33" t="str">
        <x:v>X</x:v>
      </x:c>
      <x:c r="B68" s="33" t="str">
        <x:v>J00-J06</x:v>
      </x:c>
      <x:c r="C68" s="51" t="str">
        <x:v>Острые респираторные инфекции верхних дыхательных путей</x:v>
      </x:c>
      <x:c r="D68" s="39" t="n">
        <x:v>5</x:v>
      </x:c>
      <x:c r="E68" s="45" t="n">
        <x:v>59</x:v>
      </x:c>
      <x:c r="F68" s="45" t="n">
        <x:v>53</x:v>
      </x:c>
      <x:c r="G68" s="45" t="n">
        <x:v>68</x:v>
      </x:c>
      <x:c r="H68" s="45" t="n">
        <x:v>60.6</x:v>
      </x:c>
      <x:c r="I68" s="45" t="n">
        <x:v>45</x:v>
      </x:c>
      <x:c r="J68" s="45" t="n">
        <x:v>78</x:v>
      </x:c>
      <x:c r="K68" s="45" t="n">
        <x:v>15</x:v>
      </x:c>
      <x:c r="L68" s="33" t="str">
        <x:v>False</x:v>
      </x:c>
      <x:c r="M68" s="45" t="n">
        <x:v>10</x:v>
      </x:c>
    </x:row>
    <x:row r="69">
      <x:c r="A69" s="33" t="str">
        <x:v>X</x:v>
      </x:c>
      <x:c r="B69" s="33" t="str">
        <x:v>J09-J18</x:v>
      </x:c>
      <x:c r="C69" s="51" t="str">
        <x:v>Грипп и пневмония</x:v>
      </x:c>
      <x:c r="D69" s="39" t="n">
        <x:v>2524</x:v>
      </x:c>
      <x:c r="E69" s="45" t="n">
        <x:v>67</x:v>
      </x:c>
      <x:c r="F69" s="45" t="n">
        <x:v>56</x:v>
      </x:c>
      <x:c r="G69" s="45" t="n">
        <x:v>76</x:v>
      </x:c>
      <x:c r="H69" s="45" t="n">
        <x:v>65.14263074484944</x:v>
      </x:c>
      <x:c r="I69" s="45" t="n">
        <x:v>0</x:v>
      </x:c>
      <x:c r="J69" s="45" t="n">
        <x:v>101</x:v>
      </x:c>
      <x:c r="K69" s="45" t="n">
        <x:v>20</x:v>
      </x:c>
      <x:c r="L69" s="33" t="str">
        <x:v>False</x:v>
      </x:c>
      <x:c r="M69" s="45" t="n">
        <x:v>10</x:v>
      </x:c>
    </x:row>
    <x:row r="70">
      <x:c r="A70" s="33" t="str">
        <x:v>X</x:v>
      </x:c>
      <x:c r="B70" s="33" t="str">
        <x:v>J30-J39</x:v>
      </x:c>
      <x:c r="C70" s="51" t="str">
        <x:v>Другие болезни верхних дыхательных путей</x:v>
      </x:c>
      <x:c r="D70" s="39" t="n">
        <x:v>11</x:v>
      </x:c>
      <x:c r="E70" s="45" t="n">
        <x:v>63</x:v>
      </x:c>
      <x:c r="F70" s="45" t="n">
        <x:v>46.5</x:v>
      </x:c>
      <x:c r="G70" s="45" t="n">
        <x:v>71</x:v>
      </x:c>
      <x:c r="H70" s="45" t="n">
        <x:v>60.72727272727273</x:v>
      </x:c>
      <x:c r="I70" s="45" t="n">
        <x:v>37</x:v>
      </x:c>
      <x:c r="J70" s="45" t="n">
        <x:v>81</x:v>
      </x:c>
      <x:c r="K70" s="45" t="n">
        <x:v>24.5</x:v>
      </x:c>
      <x:c r="L70" s="33" t="str">
        <x:v>False</x:v>
      </x:c>
      <x:c r="M70" s="45" t="n">
        <x:v>10</x:v>
      </x:c>
    </x:row>
    <x:row r="71">
      <x:c r="A71" s="33" t="str">
        <x:v>X</x:v>
      </x:c>
      <x:c r="B71" s="33" t="str">
        <x:v>J40-J47</x:v>
      </x:c>
      <x:c r="C71" s="51" t="str">
        <x:v>Хронические болезни нижних дыхательных путей</x:v>
      </x:c>
      <x:c r="D71" s="39" t="n">
        <x:v>1324</x:v>
      </x:c>
      <x:c r="E71" s="45" t="n">
        <x:v>71</x:v>
      </x:c>
      <x:c r="F71" s="45" t="n">
        <x:v>64</x:v>
      </x:c>
      <x:c r="G71" s="45" t="n">
        <x:v>78</x:v>
      </x:c>
      <x:c r="H71" s="45" t="n">
        <x:v>70.76510574018127</x:v>
      </x:c>
      <x:c r="I71" s="45" t="n">
        <x:v>12</x:v>
      </x:c>
      <x:c r="J71" s="45" t="n">
        <x:v>99</x:v>
      </x:c>
      <x:c r="K71" s="45" t="n">
        <x:v>14</x:v>
      </x:c>
      <x:c r="L71" s="33" t="str">
        <x:v>False</x:v>
      </x:c>
      <x:c r="M71" s="45" t="n">
        <x:v>10</x:v>
      </x:c>
    </x:row>
    <x:row r="72">
      <x:c r="A72" s="33" t="str">
        <x:v>X</x:v>
      </x:c>
      <x:c r="B72" s="33" t="str">
        <x:v>J60-J70</x:v>
      </x:c>
      <x:c r="C72" s="51" t="str">
        <x:v>Болезни легкого, вызванные внешними агентами</x:v>
      </x:c>
      <x:c r="D72" s="39" t="n">
        <x:v>1</x:v>
      </x:c>
      <x:c r="E72" s="45" t="n">
        <x:v>84</x:v>
      </x:c>
      <x:c r="F72" s="45" t="n">
        <x:v>84</x:v>
      </x:c>
      <x:c r="G72" s="45" t="n">
        <x:v>84</x:v>
      </x:c>
      <x:c r="H72" s="45" t="n">
        <x:v>84</x:v>
      </x:c>
      <x:c r="I72" s="45" t="n">
        <x:v>84</x:v>
      </x:c>
      <x:c r="J72" s="45" t="n">
        <x:v>84</x:v>
      </x:c>
      <x:c r="K72" s="45" t="n">
        <x:v>0</x:v>
      </x:c>
      <x:c r="L72" s="33" t="str">
        <x:v>True</x:v>
      </x:c>
      <x:c r="M72" s="45" t="n">
        <x:v>10</x:v>
      </x:c>
    </x:row>
    <x:row r="73">
      <x:c r="A73" s="33" t="str">
        <x:v>X</x:v>
      </x:c>
      <x:c r="B73" s="33" t="str">
        <x:v>J80-J84</x:v>
      </x:c>
      <x:c r="C73" s="51" t="str">
        <x:v>Другие респираторные болезни, поражающие главным образом интерстициальную ткань</x:v>
      </x:c>
      <x:c r="D73" s="39" t="n">
        <x:v>91</x:v>
      </x:c>
      <x:c r="E73" s="45" t="n">
        <x:v>71</x:v>
      </x:c>
      <x:c r="F73" s="45" t="n">
        <x:v>64.5</x:v>
      </x:c>
      <x:c r="G73" s="45" t="n">
        <x:v>76.5</x:v>
      </x:c>
      <x:c r="H73" s="45" t="n">
        <x:v>70.21978021978022</x:v>
      </x:c>
      <x:c r="I73" s="45" t="n">
        <x:v>33</x:v>
      </x:c>
      <x:c r="J73" s="45" t="n">
        <x:v>91</x:v>
      </x:c>
      <x:c r="K73" s="45" t="n">
        <x:v>12</x:v>
      </x:c>
      <x:c r="L73" s="33" t="str">
        <x:v>False</x:v>
      </x:c>
      <x:c r="M73" s="45" t="n">
        <x:v>10</x:v>
      </x:c>
    </x:row>
    <x:row r="74">
      <x:c r="A74" s="33" t="str">
        <x:v>X</x:v>
      </x:c>
      <x:c r="B74" s="33" t="str">
        <x:v>J85-J86</x:v>
      </x:c>
      <x:c r="C74" s="51" t="str">
        <x:v>Гнойные и некротические состояния нижних дыхательных путей</x:v>
      </x:c>
      <x:c r="D74" s="39" t="n">
        <x:v>245</x:v>
      </x:c>
      <x:c r="E74" s="45" t="n">
        <x:v>65</x:v>
      </x:c>
      <x:c r="F74" s="45" t="n">
        <x:v>54</x:v>
      </x:c>
      <x:c r="G74" s="45" t="n">
        <x:v>74</x:v>
      </x:c>
      <x:c r="H74" s="45" t="n">
        <x:v>63.477551020408164</x:v>
      </x:c>
      <x:c r="I74" s="45" t="n">
        <x:v>27</x:v>
      </x:c>
      <x:c r="J74" s="45" t="n">
        <x:v>93</x:v>
      </x:c>
      <x:c r="K74" s="45" t="n">
        <x:v>20</x:v>
      </x:c>
      <x:c r="L74" s="33" t="str">
        <x:v>False</x:v>
      </x:c>
      <x:c r="M74" s="45" t="n">
        <x:v>10</x:v>
      </x:c>
    </x:row>
    <x:row r="75">
      <x:c r="A75" s="33" t="str">
        <x:v>X</x:v>
      </x:c>
      <x:c r="B75" s="33" t="str">
        <x:v>J90-J94</x:v>
      </x:c>
      <x:c r="C75" s="51" t="str">
        <x:v>Другие болезни плевры</x:v>
      </x:c>
      <x:c r="D75" s="39" t="n">
        <x:v>9</x:v>
      </x:c>
      <x:c r="E75" s="45" t="n">
        <x:v>77</x:v>
      </x:c>
      <x:c r="F75" s="45" t="n">
        <x:v>66</x:v>
      </x:c>
      <x:c r="G75" s="45" t="n">
        <x:v>86</x:v>
      </x:c>
      <x:c r="H75" s="45" t="n">
        <x:v>75.55555555555556</x:v>
      </x:c>
      <x:c r="I75" s="45" t="n">
        <x:v>60</x:v>
      </x:c>
      <x:c r="J75" s="45" t="n">
        <x:v>89</x:v>
      </x:c>
      <x:c r="K75" s="45" t="n">
        <x:v>20</x:v>
      </x:c>
      <x:c r="L75" s="33" t="str">
        <x:v>False</x:v>
      </x:c>
      <x:c r="M75" s="45" t="n">
        <x:v>10</x:v>
      </x:c>
    </x:row>
    <x:row r="76">
      <x:c r="A76" s="33" t="str">
        <x:v>X</x:v>
      </x:c>
      <x:c r="B76" s="33" t="str">
        <x:v>J95-J99</x:v>
      </x:c>
      <x:c r="C76" s="51" t="str">
        <x:v>Другие болезни органов дыхания</x:v>
      </x:c>
      <x:c r="D76" s="39" t="n">
        <x:v>5</x:v>
      </x:c>
      <x:c r="E76" s="45" t="n">
        <x:v>52</x:v>
      </x:c>
      <x:c r="F76" s="45" t="n">
        <x:v>49</x:v>
      </x:c>
      <x:c r="G76" s="45" t="n">
        <x:v>66</x:v>
      </x:c>
      <x:c r="H76" s="45" t="n">
        <x:v>54.2</x:v>
      </x:c>
      <x:c r="I76" s="45" t="n">
        <x:v>38</x:v>
      </x:c>
      <x:c r="J76" s="45" t="n">
        <x:v>66</x:v>
      </x:c>
      <x:c r="K76" s="45" t="n">
        <x:v>17</x:v>
      </x:c>
      <x:c r="L76" s="33" t="str">
        <x:v>False</x:v>
      </x:c>
      <x:c r="M76" s="45" t="n">
        <x:v>10</x:v>
      </x:c>
    </x:row>
    <x:row r="77">
      <x:c r="A77" s="33" t="str">
        <x:v>XI</x:v>
      </x:c>
      <x:c r="B77" s="33" t="str">
        <x:v>K00-K14</x:v>
      </x:c>
      <x:c r="C77" s="51" t="str">
        <x:v>Болезни полости рта, слюнных желез и челюстей</x:v>
      </x:c>
      <x:c r="D77" s="39" t="n">
        <x:v>14</x:v>
      </x:c>
      <x:c r="E77" s="45" t="n">
        <x:v>55</x:v>
      </x:c>
      <x:c r="F77" s="45" t="n">
        <x:v>42.25</x:v>
      </x:c>
      <x:c r="G77" s="45" t="n">
        <x:v>61.75</x:v>
      </x:c>
      <x:c r="H77" s="45" t="n">
        <x:v>54.92857142857143</x:v>
      </x:c>
      <x:c r="I77" s="45" t="n">
        <x:v>33</x:v>
      </x:c>
      <x:c r="J77" s="45" t="n">
        <x:v>82</x:v>
      </x:c>
      <x:c r="K77" s="45" t="n">
        <x:v>19.5</x:v>
      </x:c>
      <x:c r="L77" s="33" t="str">
        <x:v>False</x:v>
      </x:c>
      <x:c r="M77" s="45" t="n">
        <x:v>11</x:v>
      </x:c>
    </x:row>
    <x:row r="78">
      <x:c r="A78" s="33" t="str">
        <x:v>XI</x:v>
      </x:c>
      <x:c r="B78" s="33" t="str">
        <x:v>K20-K31</x:v>
      </x:c>
      <x:c r="C78" s="51" t="str">
        <x:v>Болезни пищевода, желудка и двенадцатиперстной кишки</x:v>
      </x:c>
      <x:c r="D78" s="39" t="n">
        <x:v>666</x:v>
      </x:c>
      <x:c r="E78" s="45" t="n">
        <x:v>66</x:v>
      </x:c>
      <x:c r="F78" s="45" t="n">
        <x:v>56</x:v>
      </x:c>
      <x:c r="G78" s="45" t="n">
        <x:v>76</x:v>
      </x:c>
      <x:c r="H78" s="45" t="n">
        <x:v>65.57807807807808</x:v>
      </x:c>
      <x:c r="I78" s="45" t="n">
        <x:v>15</x:v>
      </x:c>
      <x:c r="J78" s="45" t="n">
        <x:v>98</x:v>
      </x:c>
      <x:c r="K78" s="45" t="n">
        <x:v>20</x:v>
      </x:c>
      <x:c r="L78" s="33" t="str">
        <x:v>False</x:v>
      </x:c>
      <x:c r="M78" s="45" t="n">
        <x:v>11</x:v>
      </x:c>
    </x:row>
    <x:row r="79">
      <x:c r="A79" s="33" t="str">
        <x:v>XI</x:v>
      </x:c>
      <x:c r="B79" s="33" t="str">
        <x:v>K35-K38</x:v>
      </x:c>
      <x:c r="C79" s="51" t="str">
        <x:v>Болезни аппендикса [червеобразного отростка]</x:v>
      </x:c>
      <x:c r="D79" s="39" t="n">
        <x:v>12</x:v>
      </x:c>
      <x:c r="E79" s="45" t="n">
        <x:v>67.5</x:v>
      </x:c>
      <x:c r="F79" s="45" t="n">
        <x:v>60.5</x:v>
      </x:c>
      <x:c r="G79" s="45" t="n">
        <x:v>69.5</x:v>
      </x:c>
      <x:c r="H79" s="45" t="n">
        <x:v>65.58333333333333</x:v>
      </x:c>
      <x:c r="I79" s="45" t="n">
        <x:v>50</x:v>
      </x:c>
      <x:c r="J79" s="45" t="n">
        <x:v>80</x:v>
      </x:c>
      <x:c r="K79" s="45" t="n">
        <x:v>9</x:v>
      </x:c>
      <x:c r="L79" s="33" t="str">
        <x:v>False</x:v>
      </x:c>
      <x:c r="M79" s="45" t="n">
        <x:v>11</x:v>
      </x:c>
    </x:row>
    <x:row r="80">
      <x:c r="A80" s="33" t="str">
        <x:v>XI</x:v>
      </x:c>
      <x:c r="B80" s="33" t="str">
        <x:v>K40-K46</x:v>
      </x:c>
      <x:c r="C80" s="51" t="str">
        <x:v>Грыжи</x:v>
      </x:c>
      <x:c r="D80" s="39" t="n">
        <x:v>132</x:v>
      </x:c>
      <x:c r="E80" s="45" t="n">
        <x:v>70</x:v>
      </x:c>
      <x:c r="F80" s="45" t="n">
        <x:v>62</x:v>
      </x:c>
      <x:c r="G80" s="45" t="n">
        <x:v>81</x:v>
      </x:c>
      <x:c r="H80" s="45" t="n">
        <x:v>70.68181818181819</x:v>
      </x:c>
      <x:c r="I80" s="45" t="n">
        <x:v>26</x:v>
      </x:c>
      <x:c r="J80" s="45" t="n">
        <x:v>93</x:v>
      </x:c>
      <x:c r="K80" s="45" t="n">
        <x:v>19</x:v>
      </x:c>
      <x:c r="L80" s="33" t="str">
        <x:v>False</x:v>
      </x:c>
      <x:c r="M80" s="45" t="n">
        <x:v>11</x:v>
      </x:c>
    </x:row>
    <x:row r="81">
      <x:c r="A81" s="33" t="str">
        <x:v>XI</x:v>
      </x:c>
      <x:c r="B81" s="33" t="str">
        <x:v>K50-K52</x:v>
      </x:c>
      <x:c r="C81" s="51" t="str">
        <x:v>Неинфекционные энтериты и колиты</x:v>
      </x:c>
      <x:c r="D81" s="39" t="n">
        <x:v>133</x:v>
      </x:c>
      <x:c r="E81" s="45" t="n">
        <x:v>69</x:v>
      </x:c>
      <x:c r="F81" s="45" t="n">
        <x:v>59</x:v>
      </x:c>
      <x:c r="G81" s="45" t="n">
        <x:v>79</x:v>
      </x:c>
      <x:c r="H81" s="45" t="n">
        <x:v>68.10526315789474</x:v>
      </x:c>
      <x:c r="I81" s="45" t="n">
        <x:v>25</x:v>
      </x:c>
      <x:c r="J81" s="45" t="n">
        <x:v>103</x:v>
      </x:c>
      <x:c r="K81" s="45" t="n">
        <x:v>20</x:v>
      </x:c>
      <x:c r="L81" s="33" t="str">
        <x:v>False</x:v>
      </x:c>
      <x:c r="M81" s="45" t="n">
        <x:v>11</x:v>
      </x:c>
    </x:row>
    <x:row r="82">
      <x:c r="A82" s="33" t="str">
        <x:v>XI</x:v>
      </x:c>
      <x:c r="B82" s="33" t="str">
        <x:v>K55-K64</x:v>
      </x:c>
      <x:c r="C82" s="51" t="str">
        <x:v>Другие болезни кишечника</x:v>
      </x:c>
      <x:c r="D82" s="39" t="n">
        <x:v>1227</x:v>
      </x:c>
      <x:c r="E82" s="45" t="n">
        <x:v>75</x:v>
      </x:c>
      <x:c r="F82" s="45" t="n">
        <x:v>67</x:v>
      </x:c>
      <x:c r="G82" s="45" t="n">
        <x:v>83</x:v>
      </x:c>
      <x:c r="H82" s="45" t="n">
        <x:v>73.96984515077425</x:v>
      </x:c>
      <x:c r="I82" s="45" t="n">
        <x:v>4</x:v>
      </x:c>
      <x:c r="J82" s="45" t="n">
        <x:v>104</x:v>
      </x:c>
      <x:c r="K82" s="45" t="n">
        <x:v>16</x:v>
      </x:c>
      <x:c r="L82" s="33" t="str">
        <x:v>False</x:v>
      </x:c>
      <x:c r="M82" s="45" t="n">
        <x:v>11</x:v>
      </x:c>
    </x:row>
    <x:row r="83">
      <x:c r="A83" s="33" t="str">
        <x:v>XI</x:v>
      </x:c>
      <x:c r="B83" s="33" t="str">
        <x:v>K65-K67</x:v>
      </x:c>
      <x:c r="C83" s="51" t="str">
        <x:v>Болезни брюшины</x:v>
      </x:c>
      <x:c r="D83" s="39" t="n">
        <x:v>41</x:v>
      </x:c>
      <x:c r="E83" s="45" t="n">
        <x:v>73</x:v>
      </x:c>
      <x:c r="F83" s="45" t="n">
        <x:v>62</x:v>
      </x:c>
      <x:c r="G83" s="45" t="n">
        <x:v>84</x:v>
      </x:c>
      <x:c r="H83" s="45" t="n">
        <x:v>72.17073170731707</x:v>
      </x:c>
      <x:c r="I83" s="45" t="n">
        <x:v>43</x:v>
      </x:c>
      <x:c r="J83" s="45" t="n">
        <x:v>92</x:v>
      </x:c>
      <x:c r="K83" s="45" t="n">
        <x:v>22</x:v>
      </x:c>
      <x:c r="L83" s="33" t="str">
        <x:v>False</x:v>
      </x:c>
      <x:c r="M83" s="45" t="n">
        <x:v>11</x:v>
      </x:c>
    </x:row>
    <x:row r="84">
      <x:c r="A84" s="33" t="str">
        <x:v>XI</x:v>
      </x:c>
      <x:c r="B84" s="33" t="str">
        <x:v>K70-K77</x:v>
      </x:c>
      <x:c r="C84" s="51" t="str">
        <x:v>Болезни печени</x:v>
      </x:c>
      <x:c r="D84" s="39" t="n">
        <x:v>3099</x:v>
      </x:c>
      <x:c r="E84" s="45" t="n">
        <x:v>56</x:v>
      </x:c>
      <x:c r="F84" s="45" t="n">
        <x:v>47</x:v>
      </x:c>
      <x:c r="G84" s="45" t="n">
        <x:v>64</x:v>
      </x:c>
      <x:c r="H84" s="45" t="n">
        <x:v>56.15295256534366</x:v>
      </x:c>
      <x:c r="I84" s="45" t="n">
        <x:v>21</x:v>
      </x:c>
      <x:c r="J84" s="45" t="n">
        <x:v>95</x:v>
      </x:c>
      <x:c r="K84" s="45" t="n">
        <x:v>17</x:v>
      </x:c>
      <x:c r="L84" s="33" t="str">
        <x:v>False</x:v>
      </x:c>
      <x:c r="M84" s="45" t="n">
        <x:v>11</x:v>
      </x:c>
    </x:row>
    <x:row r="85">
      <x:c r="A85" s="33" t="str">
        <x:v>XI</x:v>
      </x:c>
      <x:c r="B85" s="33" t="str">
        <x:v>K80-K87</x:v>
      </x:c>
      <x:c r="C85" s="51" t="str">
        <x:v>Болезни желчного пузыря, желчевыводящих путей и поджелудочной железы</x:v>
      </x:c>
      <x:c r="D85" s="39" t="n">
        <x:v>1553</x:v>
      </x:c>
      <x:c r="E85" s="45" t="n">
        <x:v>62</x:v>
      </x:c>
      <x:c r="F85" s="45" t="n">
        <x:v>51</x:v>
      </x:c>
      <x:c r="G85" s="45" t="n">
        <x:v>72</x:v>
      </x:c>
      <x:c r="H85" s="45" t="n">
        <x:v>61.53573728267869</x:v>
      </x:c>
      <x:c r="I85" s="45" t="n">
        <x:v>17</x:v>
      </x:c>
      <x:c r="J85" s="45" t="n">
        <x:v>97</x:v>
      </x:c>
      <x:c r="K85" s="45" t="n">
        <x:v>21</x:v>
      </x:c>
      <x:c r="L85" s="33" t="str">
        <x:v>False</x:v>
      </x:c>
      <x:c r="M85" s="45" t="n">
        <x:v>11</x:v>
      </x:c>
    </x:row>
    <x:row r="86">
      <x:c r="A86" s="33" t="str">
        <x:v>XI</x:v>
      </x:c>
      <x:c r="B86" s="33" t="str">
        <x:v>K90-K93</x:v>
      </x:c>
      <x:c r="C86" s="51" t="str">
        <x:v>Другие болезни органов пищеварения</x:v>
      </x:c>
      <x:c r="D86" s="39" t="n">
        <x:v>6</x:v>
      </x:c>
      <x:c r="E86" s="45" t="n">
        <x:v>60.5</x:v>
      </x:c>
      <x:c r="F86" s="45" t="n">
        <x:v>53.25</x:v>
      </x:c>
      <x:c r="G86" s="45" t="n">
        <x:v>68.5</x:v>
      </x:c>
      <x:c r="H86" s="45" t="n">
        <x:v>58.333333333333336</x:v>
      </x:c>
      <x:c r="I86" s="45" t="n">
        <x:v>34</x:v>
      </x:c>
      <x:c r="J86" s="45" t="n">
        <x:v>73</x:v>
      </x:c>
      <x:c r="K86" s="45" t="n">
        <x:v>15.25</x:v>
      </x:c>
      <x:c r="L86" s="33" t="str">
        <x:v>False</x:v>
      </x:c>
      <x:c r="M86" s="45" t="n">
        <x:v>11</x:v>
      </x:c>
    </x:row>
    <x:row r="87">
      <x:c r="A87" s="33" t="str">
        <x:v>XII</x:v>
      </x:c>
      <x:c r="B87" s="33" t="str">
        <x:v>L00-L08</x:v>
      </x:c>
      <x:c r="C87" s="51" t="str">
        <x:v>Инфекции кожи и подкожной клетчатки</x:v>
      </x:c>
      <x:c r="D87" s="39" t="n">
        <x:v>126</x:v>
      </x:c>
      <x:c r="E87" s="45" t="n">
        <x:v>65.5</x:v>
      </x:c>
      <x:c r="F87" s="45" t="n">
        <x:v>52.25</x:v>
      </x:c>
      <x:c r="G87" s="45" t="n">
        <x:v>74</x:v>
      </x:c>
      <x:c r="H87" s="45" t="n">
        <x:v>63.69047619047619</x:v>
      </x:c>
      <x:c r="I87" s="45" t="n">
        <x:v>25</x:v>
      </x:c>
      <x:c r="J87" s="45" t="n">
        <x:v>96</x:v>
      </x:c>
      <x:c r="K87" s="45" t="n">
        <x:v>21.75</x:v>
      </x:c>
      <x:c r="L87" s="33" t="str">
        <x:v>False</x:v>
      </x:c>
      <x:c r="M87" s="45" t="n">
        <x:v>12</x:v>
      </x:c>
    </x:row>
    <x:row r="88">
      <x:c r="A88" s="33" t="str">
        <x:v>XII</x:v>
      </x:c>
      <x:c r="B88" s="33" t="str">
        <x:v>L40-L45</x:v>
      </x:c>
      <x:c r="C88" s="51" t="str">
        <x:v>Папулосквамозные нарушения</x:v>
      </x:c>
      <x:c r="D88" s="39" t="n">
        <x:v>2</x:v>
      </x:c>
      <x:c r="E88" s="45" t="n">
        <x:v>49</x:v>
      </x:c>
      <x:c r="F88" s="45" t="n">
        <x:v>48</x:v>
      </x:c>
      <x:c r="G88" s="45" t="n">
        <x:v>50</x:v>
      </x:c>
      <x:c r="H88" s="45" t="n">
        <x:v>49</x:v>
      </x:c>
      <x:c r="I88" s="45" t="n">
        <x:v>47</x:v>
      </x:c>
      <x:c r="J88" s="45" t="n">
        <x:v>51</x:v>
      </x:c>
      <x:c r="K88" s="45" t="n">
        <x:v>2</x:v>
      </x:c>
      <x:c r="L88" s="33" t="str">
        <x:v>True</x:v>
      </x:c>
      <x:c r="M88" s="45" t="n">
        <x:v>12</x:v>
      </x:c>
    </x:row>
    <x:row r="89">
      <x:c r="A89" s="33" t="str">
        <x:v>XII</x:v>
      </x:c>
      <x:c r="B89" s="33" t="str">
        <x:v>L50-L54</x:v>
      </x:c>
      <x:c r="C89" s="51" t="str">
        <x:v>Крапивница и эритема</x:v>
      </x:c>
      <x:c r="D89" s="39" t="n">
        <x:v>4</x:v>
      </x:c>
      <x:c r="E89" s="45" t="n">
        <x:v>58</x:v>
      </x:c>
      <x:c r="F89" s="45" t="n">
        <x:v>53.75</x:v>
      </x:c>
      <x:c r="G89" s="45" t="n">
        <x:v>69</x:v>
      </x:c>
      <x:c r="H89" s="45" t="n">
        <x:v>64.75</x:v>
      </x:c>
      <x:c r="I89" s="45" t="n">
        <x:v>53</x:v>
      </x:c>
      <x:c r="J89" s="45" t="n">
        <x:v>90</x:v>
      </x:c>
      <x:c r="K89" s="45" t="n">
        <x:v>15.25</x:v>
      </x:c>
      <x:c r="L89" s="33" t="str">
        <x:v>True</x:v>
      </x:c>
      <x:c r="M89" s="45" t="n">
        <x:v>12</x:v>
      </x:c>
    </x:row>
    <x:row r="90">
      <x:c r="A90" s="33" t="str">
        <x:v>XII</x:v>
      </x:c>
      <x:c r="B90" s="33" t="str">
        <x:v>L60-L75</x:v>
      </x:c>
      <x:c r="C90" s="51" t="str">
        <x:v>Болезни придатков кожи</x:v>
      </x:c>
      <x:c r="D90" s="39" t="n">
        <x:v>1</x:v>
      </x:c>
      <x:c r="E90" s="45" t="n">
        <x:v>14</x:v>
      </x:c>
      <x:c r="F90" s="45" t="n">
        <x:v>14</x:v>
      </x:c>
      <x:c r="G90" s="45" t="n">
        <x:v>14</x:v>
      </x:c>
      <x:c r="H90" s="45" t="n">
        <x:v>14</x:v>
      </x:c>
      <x:c r="I90" s="45" t="n">
        <x:v>14</x:v>
      </x:c>
      <x:c r="J90" s="45" t="n">
        <x:v>14</x:v>
      </x:c>
      <x:c r="K90" s="45" t="n">
        <x:v>0</x:v>
      </x:c>
      <x:c r="L90" s="33" t="str">
        <x:v>True</x:v>
      </x:c>
      <x:c r="M90" s="45" t="n">
        <x:v>12</x:v>
      </x:c>
    </x:row>
    <x:row r="91">
      <x:c r="A91" s="33" t="str">
        <x:v>XII</x:v>
      </x:c>
      <x:c r="B91" s="33" t="str">
        <x:v>L80-L99</x:v>
      </x:c>
      <x:c r="C91" s="51" t="str">
        <x:v>Другие болезни кожи и подкожной клетчатки</x:v>
      </x:c>
      <x:c r="D91" s="39" t="n">
        <x:v>21</x:v>
      </x:c>
      <x:c r="E91" s="45" t="n">
        <x:v>77</x:v>
      </x:c>
      <x:c r="F91" s="45" t="n">
        <x:v>71</x:v>
      </x:c>
      <x:c r="G91" s="45" t="n">
        <x:v>79</x:v>
      </x:c>
      <x:c r="H91" s="45" t="n">
        <x:v>74.47619047619048</x:v>
      </x:c>
      <x:c r="I91" s="45" t="n">
        <x:v>31</x:v>
      </x:c>
      <x:c r="J91" s="45" t="n">
        <x:v>96</x:v>
      </x:c>
      <x:c r="K91" s="45" t="n">
        <x:v>8</x:v>
      </x:c>
      <x:c r="L91" s="33" t="str">
        <x:v>False</x:v>
      </x:c>
      <x:c r="M91" s="45" t="n">
        <x:v>12</x:v>
      </x:c>
    </x:row>
    <x:row r="92">
      <x:c r="A92" s="33" t="str">
        <x:v>XIII</x:v>
      </x:c>
      <x:c r="B92" s="33" t="str">
        <x:v>M00-M25</x:v>
      </x:c>
      <x:c r="C92" s="51" t="str">
        <x:v>Артропатии</x:v>
      </x:c>
      <x:c r="D92" s="39" t="n">
        <x:v>107</x:v>
      </x:c>
      <x:c r="E92" s="45" t="n">
        <x:v>69</x:v>
      </x:c>
      <x:c r="F92" s="45" t="n">
        <x:v>63.5</x:v>
      </x:c>
      <x:c r="G92" s="45" t="n">
        <x:v>77</x:v>
      </x:c>
      <x:c r="H92" s="45" t="n">
        <x:v>69.39252336448598</x:v>
      </x:c>
      <x:c r="I92" s="45" t="n">
        <x:v>24</x:v>
      </x:c>
      <x:c r="J92" s="45" t="n">
        <x:v>95</x:v>
      </x:c>
      <x:c r="K92" s="45" t="n">
        <x:v>13.5</x:v>
      </x:c>
      <x:c r="L92" s="33" t="str">
        <x:v>False</x:v>
      </x:c>
      <x:c r="M92" s="45" t="n">
        <x:v>13</x:v>
      </x:c>
    </x:row>
    <x:row r="93">
      <x:c r="A93" s="33" t="str">
        <x:v>XIII</x:v>
      </x:c>
      <x:c r="B93" s="33" t="str">
        <x:v>M30-M36</x:v>
      </x:c>
      <x:c r="C93" s="51" t="str">
        <x:v>Системные поражения соединительной ткани</x:v>
      </x:c>
      <x:c r="D93" s="39" t="n">
        <x:v>44</x:v>
      </x:c>
      <x:c r="E93" s="45" t="n">
        <x:v>62</x:v>
      </x:c>
      <x:c r="F93" s="45" t="n">
        <x:v>43.75</x:v>
      </x:c>
      <x:c r="G93" s="45" t="n">
        <x:v>67</x:v>
      </x:c>
      <x:c r="H93" s="45" t="n">
        <x:v>57.11363636363637</x:v>
      </x:c>
      <x:c r="I93" s="45" t="n">
        <x:v>25</x:v>
      </x:c>
      <x:c r="J93" s="45" t="n">
        <x:v>83</x:v>
      </x:c>
      <x:c r="K93" s="45" t="n">
        <x:v>23.25</x:v>
      </x:c>
      <x:c r="L93" s="33" t="str">
        <x:v>False</x:v>
      </x:c>
      <x:c r="M93" s="45" t="n">
        <x:v>13</x:v>
      </x:c>
    </x:row>
    <x:row r="94">
      <x:c r="A94" s="33" t="str">
        <x:v>XIII</x:v>
      </x:c>
      <x:c r="B94" s="33" t="str">
        <x:v>M40-M54</x:v>
      </x:c>
      <x:c r="C94" s="51" t="str">
        <x:v>Дорсопатии</x:v>
      </x:c>
      <x:c r="D94" s="39" t="n">
        <x:v>38</x:v>
      </x:c>
      <x:c r="E94" s="45" t="n">
        <x:v>66.5</x:v>
      </x:c>
      <x:c r="F94" s="45" t="n">
        <x:v>53</x:v>
      </x:c>
      <x:c r="G94" s="45" t="n">
        <x:v>69.75</x:v>
      </x:c>
      <x:c r="H94" s="45" t="n">
        <x:v>61.71052631578947</x:v>
      </x:c>
      <x:c r="I94" s="45" t="n">
        <x:v>40</x:v>
      </x:c>
      <x:c r="J94" s="45" t="n">
        <x:v>90</x:v>
      </x:c>
      <x:c r="K94" s="45" t="n">
        <x:v>16.75</x:v>
      </x:c>
      <x:c r="L94" s="33" t="str">
        <x:v>False</x:v>
      </x:c>
      <x:c r="M94" s="45" t="n">
        <x:v>13</x:v>
      </x:c>
    </x:row>
    <x:row r="95">
      <x:c r="A95" s="33" t="str">
        <x:v>XIII</x:v>
      </x:c>
      <x:c r="B95" s="33" t="str">
        <x:v>M60-M79</x:v>
      </x:c>
      <x:c r="C95" s="51" t="str">
        <x:v>Болезни мягких тканей</x:v>
      </x:c>
      <x:c r="D95" s="39" t="n">
        <x:v>6</x:v>
      </x:c>
      <x:c r="E95" s="45" t="n">
        <x:v>61</x:v>
      </x:c>
      <x:c r="F95" s="45" t="n">
        <x:v>50</x:v>
      </x:c>
      <x:c r="G95" s="45" t="n">
        <x:v>66.75</x:v>
      </x:c>
      <x:c r="H95" s="45" t="n">
        <x:v>58.333333333333336</x:v>
      </x:c>
      <x:c r="I95" s="45" t="n">
        <x:v>44</x:v>
      </x:c>
      <x:c r="J95" s="45" t="n">
        <x:v>69</x:v>
      </x:c>
      <x:c r="K95" s="45" t="n">
        <x:v>16.75</x:v>
      </x:c>
      <x:c r="L95" s="33" t="str">
        <x:v>False</x:v>
      </x:c>
      <x:c r="M95" s="45" t="n">
        <x:v>13</x:v>
      </x:c>
    </x:row>
    <x:row r="96">
      <x:c r="A96" s="33" t="str">
        <x:v>XIII</x:v>
      </x:c>
      <x:c r="B96" s="33" t="str">
        <x:v>M80-M94</x:v>
      </x:c>
      <x:c r="C96" s="51" t="str">
        <x:v>Остеопатии и хондропатии</x:v>
      </x:c>
      <x:c r="D96" s="39" t="n">
        <x:v>81</x:v>
      </x:c>
      <x:c r="E96" s="45" t="n">
        <x:v>72</x:v>
      </x:c>
      <x:c r="F96" s="45" t="n">
        <x:v>62</x:v>
      </x:c>
      <x:c r="G96" s="45" t="n">
        <x:v>80</x:v>
      </x:c>
      <x:c r="H96" s="45" t="n">
        <x:v>71.12345679012346</x:v>
      </x:c>
      <x:c r="I96" s="45" t="n">
        <x:v>36</x:v>
      </x:c>
      <x:c r="J96" s="45" t="n">
        <x:v>97</x:v>
      </x:c>
      <x:c r="K96" s="45" t="n">
        <x:v>18</x:v>
      </x:c>
      <x:c r="L96" s="33" t="str">
        <x:v>False</x:v>
      </x:c>
      <x:c r="M96" s="45" t="n">
        <x:v>13</x:v>
      </x:c>
    </x:row>
    <x:row r="97">
      <x:c r="A97" s="33" t="str">
        <x:v>XIII</x:v>
      </x:c>
      <x:c r="B97" s="33" t="str">
        <x:v>M95-M99</x:v>
      </x:c>
      <x:c r="C97" s="51" t="str">
        <x:v>Другие нарушения костно-мышечной системы и соединительной ткани</x:v>
      </x:c>
      <x:c r="D97" s="39" t="n">
        <x:v>1</x:v>
      </x:c>
      <x:c r="E97" s="45" t="n">
        <x:v>78</x:v>
      </x:c>
      <x:c r="F97" s="45" t="n">
        <x:v>78</x:v>
      </x:c>
      <x:c r="G97" s="45" t="n">
        <x:v>78</x:v>
      </x:c>
      <x:c r="H97" s="45" t="n">
        <x:v>78</x:v>
      </x:c>
      <x:c r="I97" s="45" t="n">
        <x:v>78</x:v>
      </x:c>
      <x:c r="J97" s="45" t="n">
        <x:v>78</x:v>
      </x:c>
      <x:c r="K97" s="45" t="n">
        <x:v>0</x:v>
      </x:c>
      <x:c r="L97" s="33" t="str">
        <x:v>True</x:v>
      </x:c>
      <x:c r="M97" s="45" t="n">
        <x:v>13</x:v>
      </x:c>
    </x:row>
    <x:row r="98">
      <x:c r="A98" s="33" t="str">
        <x:v>XIV</x:v>
      </x:c>
      <x:c r="B98" s="33" t="str">
        <x:v>N00-N08</x:v>
      </x:c>
      <x:c r="C98" s="51" t="str">
        <x:v>Гломерулярные болезни</x:v>
      </x:c>
      <x:c r="D98" s="39" t="n">
        <x:v>58</x:v>
      </x:c>
      <x:c r="E98" s="45" t="n">
        <x:v>69.5</x:v>
      </x:c>
      <x:c r="F98" s="45" t="n">
        <x:v>64</x:v>
      </x:c>
      <x:c r="G98" s="45" t="n">
        <x:v>79</x:v>
      </x:c>
      <x:c r="H98" s="45" t="n">
        <x:v>69.20689655172414</x:v>
      </x:c>
      <x:c r="I98" s="45" t="n">
        <x:v>27</x:v>
      </x:c>
      <x:c r="J98" s="45" t="n">
        <x:v>93</x:v>
      </x:c>
      <x:c r="K98" s="45" t="n">
        <x:v>15</x:v>
      </x:c>
      <x:c r="L98" s="33" t="str">
        <x:v>False</x:v>
      </x:c>
      <x:c r="M98" s="45" t="n">
        <x:v>14</x:v>
      </x:c>
    </x:row>
    <x:row r="99">
      <x:c r="A99" s="33" t="str">
        <x:v>XIV</x:v>
      </x:c>
      <x:c r="B99" s="33" t="str">
        <x:v>N10-N16</x:v>
      </x:c>
      <x:c r="C99" s="51" t="str">
        <x:v>Тубулоинтерстициальные болезни почек</x:v>
      </x:c>
      <x:c r="D99" s="39" t="n">
        <x:v>1895</x:v>
      </x:c>
      <x:c r="E99" s="45" t="n">
        <x:v>76</x:v>
      </x:c>
      <x:c r="F99" s="45" t="n">
        <x:v>68</x:v>
      </x:c>
      <x:c r="G99" s="45" t="n">
        <x:v>84</x:v>
      </x:c>
      <x:c r="H99" s="45" t="n">
        <x:v>74.91715039577836</x:v>
      </x:c>
      <x:c r="I99" s="45" t="n">
        <x:v>0</x:v>
      </x:c>
      <x:c r="J99" s="45" t="n">
        <x:v>103</x:v>
      </x:c>
      <x:c r="K99" s="45" t="n">
        <x:v>16</x:v>
      </x:c>
      <x:c r="L99" s="33" t="str">
        <x:v>False</x:v>
      </x:c>
      <x:c r="M99" s="45" t="n">
        <x:v>14</x:v>
      </x:c>
    </x:row>
    <x:row r="100">
      <x:c r="A100" s="33" t="str">
        <x:v>XIV</x:v>
      </x:c>
      <x:c r="B100" s="33" t="str">
        <x:v>N17-N19</x:v>
      </x:c>
      <x:c r="C100" s="51" t="str">
        <x:v>Почечная недостаточность</x:v>
      </x:c>
      <x:c r="D100" s="39" t="n">
        <x:v>47</x:v>
      </x:c>
      <x:c r="E100" s="45" t="n">
        <x:v>77</x:v>
      </x:c>
      <x:c r="F100" s="45" t="n">
        <x:v>63</x:v>
      </x:c>
      <x:c r="G100" s="45" t="n">
        <x:v>83</x:v>
      </x:c>
      <x:c r="H100" s="45" t="n">
        <x:v>73.38297872340425</x:v>
      </x:c>
      <x:c r="I100" s="45" t="n">
        <x:v>41</x:v>
      </x:c>
      <x:c r="J100" s="45" t="n">
        <x:v>93</x:v>
      </x:c>
      <x:c r="K100" s="45" t="n">
        <x:v>20</x:v>
      </x:c>
      <x:c r="L100" s="33" t="str">
        <x:v>False</x:v>
      </x:c>
      <x:c r="M100" s="45" t="n">
        <x:v>14</x:v>
      </x:c>
    </x:row>
    <x:row r="101">
      <x:c r="A101" s="33" t="str">
        <x:v>XIV</x:v>
      </x:c>
      <x:c r="B101" s="33" t="str">
        <x:v>N20-N23</x:v>
      </x:c>
      <x:c r="C101" s="51" t="str">
        <x:v>Мочекаменная болезнь</x:v>
      </x:c>
      <x:c r="D101" s="39" t="n">
        <x:v>302</x:v>
      </x:c>
      <x:c r="E101" s="45" t="n">
        <x:v>74</x:v>
      </x:c>
      <x:c r="F101" s="45" t="n">
        <x:v>67.25</x:v>
      </x:c>
      <x:c r="G101" s="45" t="n">
        <x:v>83</x:v>
      </x:c>
      <x:c r="H101" s="45" t="n">
        <x:v>74.1092715231788</x:v>
      </x:c>
      <x:c r="I101" s="45" t="n">
        <x:v>35</x:v>
      </x:c>
      <x:c r="J101" s="45" t="n">
        <x:v>97</x:v>
      </x:c>
      <x:c r="K101" s="45" t="n">
        <x:v>15.75</x:v>
      </x:c>
      <x:c r="L101" s="33" t="str">
        <x:v>False</x:v>
      </x:c>
      <x:c r="M101" s="45" t="n">
        <x:v>14</x:v>
      </x:c>
    </x:row>
    <x:row r="102">
      <x:c r="A102" s="33" t="str">
        <x:v>XIV</x:v>
      </x:c>
      <x:c r="B102" s="33" t="str">
        <x:v>N25-N29</x:v>
      </x:c>
      <x:c r="C102" s="51" t="str">
        <x:v>Другие болезни почки и мочеточника</x:v>
      </x:c>
      <x:c r="D102" s="39" t="n">
        <x:v>450</x:v>
      </x:c>
      <x:c r="E102" s="45" t="n">
        <x:v>81</x:v>
      </x:c>
      <x:c r="F102" s="45" t="n">
        <x:v>70</x:v>
      </x:c>
      <x:c r="G102" s="45" t="n">
        <x:v>87</x:v>
      </x:c>
      <x:c r="H102" s="45" t="n">
        <x:v>78.21555555555555</x:v>
      </x:c>
      <x:c r="I102" s="45" t="n">
        <x:v>42</x:v>
      </x:c>
      <x:c r="J102" s="45" t="n">
        <x:v>103</x:v>
      </x:c>
      <x:c r="K102" s="45" t="n">
        <x:v>17</x:v>
      </x:c>
      <x:c r="L102" s="33" t="str">
        <x:v>False</x:v>
      </x:c>
      <x:c r="M102" s="45" t="n">
        <x:v>14</x:v>
      </x:c>
    </x:row>
    <x:row r="103">
      <x:c r="A103" s="33" t="str">
        <x:v>XIV</x:v>
      </x:c>
      <x:c r="B103" s="33" t="str">
        <x:v>N30-N39</x:v>
      </x:c>
      <x:c r="C103" s="51" t="str">
        <x:v>Другие болезни мочевыделительной системы</x:v>
      </x:c>
      <x:c r="D103" s="39" t="n">
        <x:v>87</x:v>
      </x:c>
      <x:c r="E103" s="45" t="n">
        <x:v>77</x:v>
      </x:c>
      <x:c r="F103" s="45" t="n">
        <x:v>67</x:v>
      </x:c>
      <x:c r="G103" s="45" t="n">
        <x:v>84</x:v>
      </x:c>
      <x:c r="H103" s="45" t="n">
        <x:v>75.34482758620689</x:v>
      </x:c>
      <x:c r="I103" s="45" t="n">
        <x:v>41</x:v>
      </x:c>
      <x:c r="J103" s="45" t="n">
        <x:v>97</x:v>
      </x:c>
      <x:c r="K103" s="45" t="n">
        <x:v>17</x:v>
      </x:c>
      <x:c r="L103" s="33" t="str">
        <x:v>False</x:v>
      </x:c>
      <x:c r="M103" s="45" t="n">
        <x:v>14</x:v>
      </x:c>
    </x:row>
    <x:row r="104">
      <x:c r="A104" s="33" t="str">
        <x:v>XIV</x:v>
      </x:c>
      <x:c r="B104" s="33" t="str">
        <x:v>N40-N51</x:v>
      </x:c>
      <x:c r="C104" s="51" t="str">
        <x:v>Болезни мужских половых органов</x:v>
      </x:c>
      <x:c r="D104" s="39" t="n">
        <x:v>204</x:v>
      </x:c>
      <x:c r="E104" s="45" t="n">
        <x:v>77</x:v>
      </x:c>
      <x:c r="F104" s="45" t="n">
        <x:v>72</x:v>
      </x:c>
      <x:c r="G104" s="45" t="n">
        <x:v>84</x:v>
      </x:c>
      <x:c r="H104" s="45" t="n">
        <x:v>77.06862745098039</x:v>
      </x:c>
      <x:c r="I104" s="45" t="n">
        <x:v>43</x:v>
      </x:c>
      <x:c r="J104" s="45" t="n">
        <x:v>96</x:v>
      </x:c>
      <x:c r="K104" s="45" t="n">
        <x:v>12</x:v>
      </x:c>
      <x:c r="L104" s="33" t="str">
        <x:v>False</x:v>
      </x:c>
      <x:c r="M104" s="45" t="n">
        <x:v>14</x:v>
      </x:c>
    </x:row>
    <x:row r="105">
      <x:c r="A105" s="33" t="str">
        <x:v>XIV</x:v>
      </x:c>
      <x:c r="B105" s="33" t="str">
        <x:v>N60-N64</x:v>
      </x:c>
      <x:c r="C105" s="51" t="str">
        <x:v>Болезни молочной железы</x:v>
      </x:c>
      <x:c r="D105" s="39" t="n">
        <x:v>3</x:v>
      </x:c>
      <x:c r="E105" s="45" t="n">
        <x:v>72</x:v>
      </x:c>
      <x:c r="F105" s="45" t="n">
        <x:v>66</x:v>
      </x:c>
      <x:c r="G105" s="45" t="n">
        <x:v>74</x:v>
      </x:c>
      <x:c r="H105" s="45" t="n">
        <x:v>69.33333333333333</x:v>
      </x:c>
      <x:c r="I105" s="45" t="n">
        <x:v>60</x:v>
      </x:c>
      <x:c r="J105" s="45" t="n">
        <x:v>76</x:v>
      </x:c>
      <x:c r="K105" s="45" t="n">
        <x:v>8</x:v>
      </x:c>
      <x:c r="L105" s="33" t="str">
        <x:v>True</x:v>
      </x:c>
      <x:c r="M105" s="45" t="n">
        <x:v>14</x:v>
      </x:c>
    </x:row>
    <x:row r="106">
      <x:c r="A106" s="33" t="str">
        <x:v>XIV</x:v>
      </x:c>
      <x:c r="B106" s="33" t="str">
        <x:v>N70-N77</x:v>
      </x:c>
      <x:c r="C106" s="51" t="str">
        <x:v>Воспалительные болезни женских тазовых органов</x:v>
      </x:c>
      <x:c r="D106" s="39" t="n">
        <x:v>13</x:v>
      </x:c>
      <x:c r="E106" s="45" t="n">
        <x:v>66</x:v>
      </x:c>
      <x:c r="F106" s="45" t="n">
        <x:v>46</x:v>
      </x:c>
      <x:c r="G106" s="45" t="n">
        <x:v>69</x:v>
      </x:c>
      <x:c r="H106" s="45" t="n">
        <x:v>60.69230769230769</x:v>
      </x:c>
      <x:c r="I106" s="45" t="n">
        <x:v>37</x:v>
      </x:c>
      <x:c r="J106" s="45" t="n">
        <x:v>89</x:v>
      </x:c>
      <x:c r="K106" s="45" t="n">
        <x:v>23</x:v>
      </x:c>
      <x:c r="L106" s="33" t="str">
        <x:v>False</x:v>
      </x:c>
      <x:c r="M106" s="45" t="n">
        <x:v>14</x:v>
      </x:c>
    </x:row>
    <x:row r="107">
      <x:c r="A107" s="33" t="str">
        <x:v>XIV</x:v>
      </x:c>
      <x:c r="B107" s="33" t="str">
        <x:v>N80-N98</x:v>
      </x:c>
      <x:c r="C107" s="51" t="str">
        <x:v>Невоспалительные болезни женских половых органов</x:v>
      </x:c>
      <x:c r="D107" s="39" t="n">
        <x:v>4</x:v>
      </x:c>
      <x:c r="E107" s="45" t="n">
        <x:v>42.5</x:v>
      </x:c>
      <x:c r="F107" s="45" t="n">
        <x:v>37.75</x:v>
      </x:c>
      <x:c r="G107" s="45" t="n">
        <x:v>46.75</x:v>
      </x:c>
      <x:c r="H107" s="45" t="n">
        <x:v>42</x:v>
      </x:c>
      <x:c r="I107" s="45" t="n">
        <x:v>25</x:v>
      </x:c>
      <x:c r="J107" s="45" t="n">
        <x:v>58</x:v>
      </x:c>
      <x:c r="K107" s="45" t="n">
        <x:v>9</x:v>
      </x:c>
      <x:c r="L107" s="33" t="str">
        <x:v>True</x:v>
      </x:c>
      <x:c r="M107" s="45" t="n">
        <x:v>14</x:v>
      </x:c>
    </x:row>
    <x:row r="108">
      <x:c r="A108" s="33" t="str">
        <x:v>XV</x:v>
      </x:c>
      <x:c r="B108" s="33" t="str">
        <x:v>O00-O08</x:v>
      </x:c>
      <x:c r="C108" s="51" t="str">
        <x:v>Беременность с абортивным исходом</x:v>
      </x:c>
      <x:c r="D108" s="39" t="n">
        <x:v>1</x:v>
      </x:c>
      <x:c r="E108" s="45" t="n">
        <x:v>35</x:v>
      </x:c>
      <x:c r="F108" s="45" t="n">
        <x:v>35</x:v>
      </x:c>
      <x:c r="G108" s="45" t="n">
        <x:v>35</x:v>
      </x:c>
      <x:c r="H108" s="45" t="n">
        <x:v>35</x:v>
      </x:c>
      <x:c r="I108" s="45" t="n">
        <x:v>35</x:v>
      </x:c>
      <x:c r="J108" s="45" t="n">
        <x:v>35</x:v>
      </x:c>
      <x:c r="K108" s="45" t="n">
        <x:v>0</x:v>
      </x:c>
      <x:c r="L108" s="33" t="str">
        <x:v>True</x:v>
      </x:c>
      <x:c r="M108" s="45" t="n">
        <x:v>15</x:v>
      </x:c>
    </x:row>
    <x:row r="109">
      <x:c r="A109" s="33" t="str">
        <x:v>XV</x:v>
      </x:c>
      <x:c r="B109" s="33" t="str">
        <x:v>O30-O48</x:v>
      </x:c>
      <x:c r="C109" s="51" t="str">
        <x:v>Медицинская помощь матери в связи с состоянием плода</x:v>
      </x:c>
      <x:c r="D109" s="39" t="n">
        <x:v>3</x:v>
      </x:c>
      <x:c r="E109" s="45" t="n">
        <x:v>31</x:v>
      </x:c>
      <x:c r="F109" s="45" t="n">
        <x:v>15.5</x:v>
      </x:c>
      <x:c r="G109" s="45" t="n">
        <x:v>35.5</x:v>
      </x:c>
      <x:c r="H109" s="45" t="n">
        <x:v>23.666666666666668</x:v>
      </x:c>
      <x:c r="I109" s="45" t="n">
        <x:v>0</x:v>
      </x:c>
      <x:c r="J109" s="45" t="n">
        <x:v>40</x:v>
      </x:c>
      <x:c r="K109" s="45" t="n">
        <x:v>20</x:v>
      </x:c>
      <x:c r="L109" s="33" t="str">
        <x:v>True</x:v>
      </x:c>
      <x:c r="M109" s="45" t="n">
        <x:v>15</x:v>
      </x:c>
    </x:row>
    <x:row r="110">
      <x:c r="A110" s="33" t="str">
        <x:v>XV</x:v>
      </x:c>
      <x:c r="B110" s="33" t="str">
        <x:v>O60-O75</x:v>
      </x:c>
      <x:c r="C110" s="51" t="str">
        <x:v>Осложнения родов и родоразрешения</x:v>
      </x:c>
      <x:c r="D110" s="39" t="n">
        <x:v>2</x:v>
      </x:c>
      <x:c r="E110" s="45" t="n">
        <x:v>30</x:v>
      </x:c>
      <x:c r="F110" s="45" t="n">
        <x:v>29.5</x:v>
      </x:c>
      <x:c r="G110" s="45" t="n">
        <x:v>30.5</x:v>
      </x:c>
      <x:c r="H110" s="45" t="n">
        <x:v>30</x:v>
      </x:c>
      <x:c r="I110" s="45" t="n">
        <x:v>29</x:v>
      </x:c>
      <x:c r="J110" s="45" t="n">
        <x:v>31</x:v>
      </x:c>
      <x:c r="K110" s="45" t="n">
        <x:v>1</x:v>
      </x:c>
      <x:c r="L110" s="33" t="str">
        <x:v>True</x:v>
      </x:c>
      <x:c r="M110" s="45" t="n">
        <x:v>15</x:v>
      </x:c>
    </x:row>
    <x:row r="111">
      <x:c r="A111" s="33" t="str">
        <x:v>XV</x:v>
      </x:c>
      <x:c r="B111" s="33" t="str">
        <x:v>O85-O92</x:v>
      </x:c>
      <x:c r="C111" s="51" t="str">
        <x:v>Осложнения послеродового периода</x:v>
      </x:c>
      <x:c r="D111" s="39" t="n">
        <x:v>1</x:v>
      </x:c>
      <x:c r="E111" s="45" t="n">
        <x:v>35</x:v>
      </x:c>
      <x:c r="F111" s="45" t="n">
        <x:v>35</x:v>
      </x:c>
      <x:c r="G111" s="45" t="n">
        <x:v>35</x:v>
      </x:c>
      <x:c r="H111" s="45" t="n">
        <x:v>35</x:v>
      </x:c>
      <x:c r="I111" s="45" t="n">
        <x:v>35</x:v>
      </x:c>
      <x:c r="J111" s="45" t="n">
        <x:v>35</x:v>
      </x:c>
      <x:c r="K111" s="45" t="n">
        <x:v>0</x:v>
      </x:c>
      <x:c r="L111" s="33" t="str">
        <x:v>True</x:v>
      </x:c>
      <x:c r="M111" s="45" t="n">
        <x:v>15</x:v>
      </x:c>
    </x:row>
    <x:row r="112">
      <x:c r="A112" s="33" t="str">
        <x:v>XV</x:v>
      </x:c>
      <x:c r="B112" s="33" t="str">
        <x:v>O94-O99</x:v>
      </x:c>
      <x:c r="C112" s="51" t="str">
        <x:v>Другие акушерские состояния</x:v>
      </x:c>
      <x:c r="D112" s="39" t="n">
        <x:v>4</x:v>
      </x:c>
      <x:c r="E112" s="45" t="n">
        <x:v>30.5</x:v>
      </x:c>
      <x:c r="F112" s="45" t="n">
        <x:v>28.25</x:v>
      </x:c>
      <x:c r="G112" s="45" t="n">
        <x:v>33.5</x:v>
      </x:c>
      <x:c r="H112" s="45" t="n">
        <x:v>31.25</x:v>
      </x:c>
      <x:c r="I112" s="45" t="n">
        <x:v>26</x:v>
      </x:c>
      <x:c r="J112" s="45" t="n">
        <x:v>38</x:v>
      </x:c>
      <x:c r="K112" s="45" t="n">
        <x:v>5.25</x:v>
      </x:c>
      <x:c r="L112" s="33" t="str">
        <x:v>True</x:v>
      </x:c>
      <x:c r="M112" s="45" t="n">
        <x:v>15</x:v>
      </x:c>
    </x:row>
    <x:row r="113">
      <x:c r="A113" s="33" t="str">
        <x:v>XVI</x:v>
      </x:c>
      <x:c r="B113" s="33" t="str">
        <x:v>P00-P04</x:v>
      </x:c>
      <x:c r="C113" s="51" t="str">
        <x:v>Поражение плода и новорожденного, обусловленные состояниями матери, осложнениями беременности, родов и родоразрешения</x:v>
      </x:c>
      <x:c r="D113" s="39" t="n">
        <x:v>2</x:v>
      </x:c>
      <x:c r="E113" s="45" t="n">
        <x:v>0</x:v>
      </x:c>
      <x:c r="F113" s="45" t="n">
        <x:v>0</x:v>
      </x:c>
      <x:c r="G113" s="45" t="n">
        <x:v>0</x:v>
      </x:c>
      <x:c r="H113" s="45" t="n">
        <x:v>0</x:v>
      </x:c>
      <x:c r="I113" s="45" t="n">
        <x:v>0</x:v>
      </x:c>
      <x:c r="J113" s="45" t="n">
        <x:v>0</x:v>
      </x:c>
      <x:c r="K113" s="45" t="n">
        <x:v>0</x:v>
      </x:c>
      <x:c r="L113" s="33" t="str">
        <x:v>True</x:v>
      </x:c>
      <x:c r="M113" s="45" t="n">
        <x:v>16</x:v>
      </x:c>
    </x:row>
    <x:row r="114">
      <x:c r="A114" s="33" t="str">
        <x:v>XVI</x:v>
      </x:c>
      <x:c r="B114" s="33" t="str">
        <x:v>P05-P08</x:v>
      </x:c>
      <x:c r="C114" s="51" t="str">
        <x:v>Расстройства, связанные с продолжительностью беременности и ростом плод</x:v>
      </x:c>
      <x:c r="D114" s="39" t="n">
        <x:v>1</x:v>
      </x:c>
      <x:c r="E114" s="45" t="n">
        <x:v>0</x:v>
      </x:c>
      <x:c r="F114" s="45" t="n">
        <x:v>0</x:v>
      </x:c>
      <x:c r="G114" s="45" t="n">
        <x:v>0</x:v>
      </x:c>
      <x:c r="H114" s="45" t="n">
        <x:v>0</x:v>
      </x:c>
      <x:c r="I114" s="45" t="n">
        <x:v>0</x:v>
      </x:c>
      <x:c r="J114" s="45" t="n">
        <x:v>0</x:v>
      </x:c>
      <x:c r="K114" s="45" t="n">
        <x:v>0</x:v>
      </x:c>
      <x:c r="L114" s="33" t="str">
        <x:v>True</x:v>
      </x:c>
      <x:c r="M114" s="45" t="n">
        <x:v>16</x:v>
      </x:c>
    </x:row>
    <x:row r="115">
      <x:c r="A115" s="33" t="str">
        <x:v>XVI</x:v>
      </x:c>
      <x:c r="B115" s="33" t="str">
        <x:v>P10-P15</x:v>
      </x:c>
      <x:c r="C115" s="51" t="str">
        <x:v>Родовая травма</x:v>
      </x:c>
      <x:c r="D115" s="39" t="n">
        <x:v>3</x:v>
      </x:c>
      <x:c r="E115" s="45" t="n">
        <x:v>0</x:v>
      </x:c>
      <x:c r="F115" s="45" t="n">
        <x:v>0</x:v>
      </x:c>
      <x:c r="G115" s="45" t="n">
        <x:v>0</x:v>
      </x:c>
      <x:c r="H115" s="45" t="n">
        <x:v>0</x:v>
      </x:c>
      <x:c r="I115" s="45" t="n">
        <x:v>0</x:v>
      </x:c>
      <x:c r="J115" s="45" t="n">
        <x:v>0</x:v>
      </x:c>
      <x:c r="K115" s="45" t="n">
        <x:v>0</x:v>
      </x:c>
      <x:c r="L115" s="33" t="str">
        <x:v>True</x:v>
      </x:c>
      <x:c r="M115" s="45" t="n">
        <x:v>16</x:v>
      </x:c>
    </x:row>
    <x:row r="116">
      <x:c r="A116" s="33" t="str">
        <x:v>XVI</x:v>
      </x:c>
      <x:c r="B116" s="33" t="str">
        <x:v>P20-P29</x:v>
      </x:c>
      <x:c r="C116" s="51" t="str">
        <x:v>Дыхательные и сердечно-сосудистые нарушения, характерные для перинатального периода</x:v>
      </x:c>
      <x:c r="D116" s="39" t="n">
        <x:v>95</x:v>
      </x:c>
      <x:c r="E116" s="45" t="n">
        <x:v>0</x:v>
      </x:c>
      <x:c r="F116" s="45" t="n">
        <x:v>0</x:v>
      </x:c>
      <x:c r="G116" s="45" t="n">
        <x:v>0</x:v>
      </x:c>
      <x:c r="H116" s="45" t="n">
        <x:v>0</x:v>
      </x:c>
      <x:c r="I116" s="45" t="n">
        <x:v>0</x:v>
      </x:c>
      <x:c r="J116" s="45" t="n">
        <x:v>0</x:v>
      </x:c>
      <x:c r="K116" s="45" t="n">
        <x:v>0</x:v>
      </x:c>
      <x:c r="L116" s="33" t="str">
        <x:v>False</x:v>
      </x:c>
      <x:c r="M116" s="45" t="n">
        <x:v>16</x:v>
      </x:c>
    </x:row>
    <x:row r="117">
      <x:c r="A117" s="33" t="str">
        <x:v>XVI</x:v>
      </x:c>
      <x:c r="B117" s="33" t="str">
        <x:v>P35-P39</x:v>
      </x:c>
      <x:c r="C117" s="51" t="str">
        <x:v>Инфекционные болезни, специфичные для перинатального периода</x:v>
      </x:c>
      <x:c r="D117" s="39" t="n">
        <x:v>40</x:v>
      </x:c>
      <x:c r="E117" s="45" t="n">
        <x:v>0</x:v>
      </x:c>
      <x:c r="F117" s="45" t="n">
        <x:v>0</x:v>
      </x:c>
      <x:c r="G117" s="45" t="n">
        <x:v>0</x:v>
      </x:c>
      <x:c r="H117" s="45" t="n">
        <x:v>0</x:v>
      </x:c>
      <x:c r="I117" s="45" t="n">
        <x:v>0</x:v>
      </x:c>
      <x:c r="J117" s="45" t="n">
        <x:v>0</x:v>
      </x:c>
      <x:c r="K117" s="45" t="n">
        <x:v>0</x:v>
      </x:c>
      <x:c r="L117" s="33" t="str">
        <x:v>False</x:v>
      </x:c>
      <x:c r="M117" s="45" t="n">
        <x:v>16</x:v>
      </x:c>
    </x:row>
    <x:row r="118">
      <x:c r="A118" s="33" t="str">
        <x:v>XVI</x:v>
      </x:c>
      <x:c r="B118" s="33" t="str">
        <x:v>P50-P61</x:v>
      </x:c>
      <x:c r="C118" s="51" t="str">
        <x:v>Геморрагические и гематологические нарушения у плода и новорожденного</x:v>
      </x:c>
      <x:c r="D118" s="39" t="n">
        <x:v>15</x:v>
      </x:c>
      <x:c r="E118" s="45" t="n">
        <x:v>0</x:v>
      </x:c>
      <x:c r="F118" s="45" t="n">
        <x:v>0</x:v>
      </x:c>
      <x:c r="G118" s="45" t="n">
        <x:v>0</x:v>
      </x:c>
      <x:c r="H118" s="45" t="n">
        <x:v>0</x:v>
      </x:c>
      <x:c r="I118" s="45" t="n">
        <x:v>0</x:v>
      </x:c>
      <x:c r="J118" s="45" t="n">
        <x:v>0</x:v>
      </x:c>
      <x:c r="K118" s="45" t="n">
        <x:v>0</x:v>
      </x:c>
      <x:c r="L118" s="33" t="str">
        <x:v>False</x:v>
      </x:c>
      <x:c r="M118" s="45" t="n">
        <x:v>16</x:v>
      </x:c>
    </x:row>
    <x:row r="119">
      <x:c r="A119" s="33" t="str">
        <x:v>XVI</x:v>
      </x:c>
      <x:c r="B119" s="33" t="str">
        <x:v>P75-P78</x:v>
      </x:c>
      <x:c r="C119" s="51" t="str">
        <x:v>Расстройства системы пищеварения у плода и новорожденного</x:v>
      </x:c>
      <x:c r="D119" s="39" t="n">
        <x:v>8</x:v>
      </x:c>
      <x:c r="E119" s="45" t="n">
        <x:v>0</x:v>
      </x:c>
      <x:c r="F119" s="45" t="n">
        <x:v>0</x:v>
      </x:c>
      <x:c r="G119" s="45" t="n">
        <x:v>0</x:v>
      </x:c>
      <x:c r="H119" s="45" t="n">
        <x:v>0</x:v>
      </x:c>
      <x:c r="I119" s="45" t="n">
        <x:v>0</x:v>
      </x:c>
      <x:c r="J119" s="45" t="n">
        <x:v>0</x:v>
      </x:c>
      <x:c r="K119" s="45" t="n">
        <x:v>0</x:v>
      </x:c>
      <x:c r="L119" s="33" t="str">
        <x:v>False</x:v>
      </x:c>
      <x:c r="M119" s="45" t="n">
        <x:v>16</x:v>
      </x:c>
    </x:row>
    <x:row r="120">
      <x:c r="A120" s="33" t="str">
        <x:v>XVI</x:v>
      </x:c>
      <x:c r="B120" s="33" t="str">
        <x:v>P80-P83</x:v>
      </x:c>
      <x:c r="C120" s="51" t="str">
        <x:v>Состояния, затрагивающие кожные покровы и терморегуляцию у плода и новорожденного</x:v>
      </x:c>
      <x:c r="D120" s="39" t="n">
        <x:v>3</x:v>
      </x:c>
      <x:c r="E120" s="45" t="n">
        <x:v>0</x:v>
      </x:c>
      <x:c r="F120" s="45" t="n">
        <x:v>0</x:v>
      </x:c>
      <x:c r="G120" s="45" t="n">
        <x:v>0</x:v>
      </x:c>
      <x:c r="H120" s="45" t="n">
        <x:v>0</x:v>
      </x:c>
      <x:c r="I120" s="45" t="n">
        <x:v>0</x:v>
      </x:c>
      <x:c r="J120" s="45" t="n">
        <x:v>0</x:v>
      </x:c>
      <x:c r="K120" s="45" t="n">
        <x:v>0</x:v>
      </x:c>
      <x:c r="L120" s="33" t="str">
        <x:v>True</x:v>
      </x:c>
      <x:c r="M120" s="45" t="n">
        <x:v>16</x:v>
      </x:c>
    </x:row>
    <x:row r="121">
      <x:c r="A121" s="33" t="str">
        <x:v>XVI</x:v>
      </x:c>
      <x:c r="B121" s="33" t="str">
        <x:v>P90-P96</x:v>
      </x:c>
      <x:c r="C121" s="51" t="str">
        <x:v>Другие нарушения, возникающие в перинатальном периоде</x:v>
      </x:c>
      <x:c r="D121" s="39" t="n">
        <x:v>3</x:v>
      </x:c>
      <x:c r="E121" s="45" t="n">
        <x:v>0</x:v>
      </x:c>
      <x:c r="F121" s="45" t="n">
        <x:v>0</x:v>
      </x:c>
      <x:c r="G121" s="45" t="n">
        <x:v>0</x:v>
      </x:c>
      <x:c r="H121" s="45" t="n">
        <x:v>0</x:v>
      </x:c>
      <x:c r="I121" s="45" t="n">
        <x:v>0</x:v>
      </x:c>
      <x:c r="J121" s="45" t="n">
        <x:v>0</x:v>
      </x:c>
      <x:c r="K121" s="45" t="n">
        <x:v>0</x:v>
      </x:c>
      <x:c r="L121" s="33" t="str">
        <x:v>True</x:v>
      </x:c>
      <x:c r="M121" s="45" t="n">
        <x:v>16</x:v>
      </x:c>
    </x:row>
    <x:row r="122">
      <x:c r="A122" s="33" t="str">
        <x:v>XVII</x:v>
      </x:c>
      <x:c r="B122" s="33" t="str">
        <x:v>Q00-Q07</x:v>
      </x:c>
      <x:c r="C122" s="51" t="str">
        <x:v>Врожденные аномалии развития нервной системы</x:v>
      </x:c>
      <x:c r="D122" s="39" t="n">
        <x:v>13</x:v>
      </x:c>
      <x:c r="E122" s="45" t="n">
        <x:v>6</x:v>
      </x:c>
      <x:c r="F122" s="45" t="n">
        <x:v>0</x:v>
      </x:c>
      <x:c r="G122" s="45" t="n">
        <x:v>23</x:v>
      </x:c>
      <x:c r="H122" s="45" t="n">
        <x:v>12.076923076923077</x:v>
      </x:c>
      <x:c r="I122" s="45" t="n">
        <x:v>0</x:v>
      </x:c>
      <x:c r="J122" s="45" t="n">
        <x:v>39</x:v>
      </x:c>
      <x:c r="K122" s="45" t="n">
        <x:v>23</x:v>
      </x:c>
      <x:c r="L122" s="33" t="str">
        <x:v>False</x:v>
      </x:c>
      <x:c r="M122" s="45" t="n">
        <x:v>17</x:v>
      </x:c>
    </x:row>
    <x:row r="123">
      <x:c r="A123" s="33" t="str">
        <x:v>XVII</x:v>
      </x:c>
      <x:c r="B123" s="33" t="str">
        <x:v>Q20-Q28</x:v>
      </x:c>
      <x:c r="C123" s="51" t="str">
        <x:v>Врожденные аномалии системы кровообращения</x:v>
      </x:c>
      <x:c r="D123" s="39" t="n">
        <x:v>34</x:v>
      </x:c>
      <x:c r="E123" s="45" t="n">
        <x:v>27.5</x:v>
      </x:c>
      <x:c r="F123" s="45" t="n">
        <x:v>0</x:v>
      </x:c>
      <x:c r="G123" s="45" t="n">
        <x:v>52.5</x:v>
      </x:c>
      <x:c r="H123" s="45" t="n">
        <x:v>27.794117647058822</x:v>
      </x:c>
      <x:c r="I123" s="45" t="n">
        <x:v>0</x:v>
      </x:c>
      <x:c r="J123" s="45" t="n">
        <x:v>72</x:v>
      </x:c>
      <x:c r="K123" s="45" t="n">
        <x:v>52.5</x:v>
      </x:c>
      <x:c r="L123" s="33" t="str">
        <x:v>False</x:v>
      </x:c>
      <x:c r="M123" s="45" t="n">
        <x:v>17</x:v>
      </x:c>
    </x:row>
    <x:row r="124">
      <x:c r="A124" s="33" t="str">
        <x:v>XVII</x:v>
      </x:c>
      <x:c r="B124" s="33" t="str">
        <x:v>Q30-Q34</x:v>
      </x:c>
      <x:c r="C124" s="51" t="str">
        <x:v>Врожденные аномалии органов дыхания</x:v>
      </x:c>
      <x:c r="D124" s="39" t="n">
        <x:v>2</x:v>
      </x:c>
      <x:c r="E124" s="45" t="n">
        <x:v>8</x:v>
      </x:c>
      <x:c r="F124" s="45" t="n">
        <x:v>4</x:v>
      </x:c>
      <x:c r="G124" s="45" t="n">
        <x:v>12</x:v>
      </x:c>
      <x:c r="H124" s="45" t="n">
        <x:v>8</x:v>
      </x:c>
      <x:c r="I124" s="45" t="n">
        <x:v>0</x:v>
      </x:c>
      <x:c r="J124" s="45" t="n">
        <x:v>16</x:v>
      </x:c>
      <x:c r="K124" s="45" t="n">
        <x:v>8</x:v>
      </x:c>
      <x:c r="L124" s="33" t="str">
        <x:v>True</x:v>
      </x:c>
      <x:c r="M124" s="45" t="n">
        <x:v>17</x:v>
      </x:c>
    </x:row>
    <x:row r="125">
      <x:c r="A125" s="33" t="str">
        <x:v>XVII</x:v>
      </x:c>
      <x:c r="B125" s="33" t="str">
        <x:v>Q38-Q45</x:v>
      </x:c>
      <x:c r="C125" s="51" t="str">
        <x:v>Другие врожденные аномалии органов пищеварения</x:v>
      </x:c>
      <x:c r="D125" s="39" t="n">
        <x:v>11</x:v>
      </x:c>
      <x:c r="E125" s="45" t="n">
        <x:v>13</x:v>
      </x:c>
      <x:c r="F125" s="45" t="n">
        <x:v>0</x:v>
      </x:c>
      <x:c r="G125" s="45" t="n">
        <x:v>57.5</x:v>
      </x:c>
      <x:c r="H125" s="45" t="n">
        <x:v>29.181818181818183</x:v>
      </x:c>
      <x:c r="I125" s="45" t="n">
        <x:v>0</x:v>
      </x:c>
      <x:c r="J125" s="45" t="n">
        <x:v>81</x:v>
      </x:c>
      <x:c r="K125" s="45" t="n">
        <x:v>57.5</x:v>
      </x:c>
      <x:c r="L125" s="33" t="str">
        <x:v>False</x:v>
      </x:c>
      <x:c r="M125" s="45" t="n">
        <x:v>17</x:v>
      </x:c>
    </x:row>
    <x:row r="126">
      <x:c r="A126" s="33" t="str">
        <x:v>XVII</x:v>
      </x:c>
      <x:c r="B126" s="33" t="str">
        <x:v>Q60-Q64</x:v>
      </x:c>
      <x:c r="C126" s="51" t="str">
        <x:v>Врожденные аномалии мочевыделительной системы</x:v>
      </x:c>
      <x:c r="D126" s="39" t="n">
        <x:v>19</x:v>
      </x:c>
      <x:c r="E126" s="45" t="n">
        <x:v>60</x:v>
      </x:c>
      <x:c r="F126" s="45" t="n">
        <x:v>48</x:v>
      </x:c>
      <x:c r="G126" s="45" t="n">
        <x:v>68.5</x:v>
      </x:c>
      <x:c r="H126" s="45" t="n">
        <x:v>56.89473684210526</x:v>
      </x:c>
      <x:c r="I126" s="45" t="n">
        <x:v>0</x:v>
      </x:c>
      <x:c r="J126" s="45" t="n">
        <x:v>91</x:v>
      </x:c>
      <x:c r="K126" s="45" t="n">
        <x:v>20.5</x:v>
      </x:c>
      <x:c r="L126" s="33" t="str">
        <x:v>False</x:v>
      </x:c>
      <x:c r="M126" s="45" t="n">
        <x:v>17</x:v>
      </x:c>
    </x:row>
    <x:row r="127">
      <x:c r="A127" s="33" t="str">
        <x:v>XVII</x:v>
      </x:c>
      <x:c r="B127" s="33" t="str">
        <x:v>Q65-Q79</x:v>
      </x:c>
      <x:c r="C127" s="51" t="str">
        <x:v>Врожденные аномалии и деформации костно-мышечной системы</x:v>
      </x:c>
      <x:c r="D127" s="39" t="n">
        <x:v>4</x:v>
      </x:c>
      <x:c r="E127" s="45" t="n">
        <x:v>40</x:v>
      </x:c>
      <x:c r="F127" s="45" t="n">
        <x:v>25.5</x:v>
      </x:c>
      <x:c r="G127" s="45" t="n">
        <x:v>46.25</x:v>
      </x:c>
      <x:c r="H127" s="45" t="n">
        <x:v>31.75</x:v>
      </x:c>
      <x:c r="I127" s="45" t="n">
        <x:v>0</x:v>
      </x:c>
      <x:c r="J127" s="45" t="n">
        <x:v>47</x:v>
      </x:c>
      <x:c r="K127" s="45" t="n">
        <x:v>20.75</x:v>
      </x:c>
      <x:c r="L127" s="33" t="str">
        <x:v>True</x:v>
      </x:c>
      <x:c r="M127" s="45" t="n">
        <x:v>17</x:v>
      </x:c>
    </x:row>
    <x:row r="128">
      <x:c r="A128" s="33" t="str">
        <x:v>XVII</x:v>
      </x:c>
      <x:c r="B128" s="33" t="str">
        <x:v>Q80-Q89</x:v>
      </x:c>
      <x:c r="C128" s="51" t="str">
        <x:v>Другие врожденные аномалии</x:v>
      </x:c>
      <x:c r="D128" s="39" t="n">
        <x:v>17</x:v>
      </x:c>
      <x:c r="E128" s="45" t="n">
        <x:v>0</x:v>
      </x:c>
      <x:c r="F128" s="45" t="n">
        <x:v>0</x:v>
      </x:c>
      <x:c r="G128" s="45" t="n">
        <x:v>2</x:v>
      </x:c>
      <x:c r="H128" s="45" t="n">
        <x:v>13.470588235294118</x:v>
      </x:c>
      <x:c r="I128" s="45" t="n">
        <x:v>0</x:v>
      </x:c>
      <x:c r="J128" s="45" t="n">
        <x:v>68</x:v>
      </x:c>
      <x:c r="K128" s="45" t="n">
        <x:v>2</x:v>
      </x:c>
      <x:c r="L128" s="33" t="str">
        <x:v>False</x:v>
      </x:c>
      <x:c r="M128" s="45" t="n">
        <x:v>17</x:v>
      </x:c>
    </x:row>
    <x:row r="129">
      <x:c r="A129" s="33" t="str">
        <x:v>XVIII</x:v>
      </x:c>
      <x:c r="B129" s="33" t="str">
        <x:v>R50-R69</x:v>
      </x:c>
      <x:c r="C129" s="51" t="str">
        <x:v>Общие симптомы и признаки</x:v>
      </x:c>
      <x:c r="D129" s="39" t="n">
        <x:v>49</x:v>
      </x:c>
      <x:c r="E129" s="45" t="n">
        <x:v>90</x:v>
      </x:c>
      <x:c r="F129" s="45" t="n">
        <x:v>86</x:v>
      </x:c>
      <x:c r="G129" s="45" t="n">
        <x:v>93</x:v>
      </x:c>
      <x:c r="H129" s="45" t="n">
        <x:v>89.6938775510204</x:v>
      </x:c>
      <x:c r="I129" s="45" t="n">
        <x:v>82</x:v>
      </x:c>
      <x:c r="J129" s="45" t="n">
        <x:v>98</x:v>
      </x:c>
      <x:c r="K129" s="45" t="n">
        <x:v>7</x:v>
      </x:c>
      <x:c r="L129" s="33" t="str">
        <x:v>False</x:v>
      </x:c>
      <x:c r="M129" s="45" t="n">
        <x:v>18</x:v>
      </x:c>
    </x:row>
    <x:row r="130">
      <x:c r="A130" s="33" t="str">
        <x:v>XVIII</x:v>
      </x:c>
      <x:c r="B130" s="33" t="str">
        <x:v>R95-R99</x:v>
      </x:c>
      <x:c r="C130" s="51" t="str">
        <x:v>Неточно обозначенные и неизвестные причины смерти</x:v>
      </x:c>
      <x:c r="D130" s="39" t="n">
        <x:v>1794</x:v>
      </x:c>
      <x:c r="E130" s="45" t="n">
        <x:v>59</x:v>
      </x:c>
      <x:c r="F130" s="45" t="n">
        <x:v>47</x:v>
      </x:c>
      <x:c r="G130" s="45" t="n">
        <x:v>68</x:v>
      </x:c>
      <x:c r="H130" s="45" t="n">
        <x:v>57.20457079152731</x:v>
      </x:c>
      <x:c r="I130" s="45" t="n">
        <x:v>0</x:v>
      </x:c>
      <x:c r="J130" s="45" t="n">
        <x:v>105</x:v>
      </x:c>
      <x:c r="K130" s="45" t="n">
        <x:v>21</x:v>
      </x:c>
      <x:c r="L130" s="33" t="str">
        <x:v>False</x:v>
      </x:c>
      <x:c r="M130" s="45" t="n">
        <x:v>18</x:v>
      </x:c>
    </x:row>
    <x:row r="131">
      <x:c r="A131" s="33" t="str">
        <x:v>XIX</x:v>
      </x:c>
      <x:c r="B131" s="33" t="str">
        <x:v>S00-S09</x:v>
      </x:c>
      <x:c r="C131" s="51" t="str">
        <x:v>Травмы головы</x:v>
      </x:c>
      <x:c r="D131" s="39" t="n">
        <x:v>1280</x:v>
      </x:c>
      <x:c r="E131" s="45" t="n">
        <x:v>46</x:v>
      </x:c>
      <x:c r="F131" s="45" t="n">
        <x:v>36</x:v>
      </x:c>
      <x:c r="G131" s="45" t="n">
        <x:v>60</x:v>
      </x:c>
      <x:c r="H131" s="45" t="n">
        <x:v>47.97421875</x:v>
      </x:c>
      <x:c r="I131" s="45" t="n">
        <x:v>0</x:v>
      </x:c>
      <x:c r="J131" s="45" t="n">
        <x:v>95</x:v>
      </x:c>
      <x:c r="K131" s="45" t="n">
        <x:v>24</x:v>
      </x:c>
      <x:c r="L131" s="33" t="str">
        <x:v>False</x:v>
      </x:c>
      <x:c r="M131" s="45" t="n">
        <x:v>19</x:v>
      </x:c>
    </x:row>
    <x:row r="132">
      <x:c r="A132" s="33" t="str">
        <x:v>XIX</x:v>
      </x:c>
      <x:c r="B132" s="33" t="str">
        <x:v>S10-S19</x:v>
      </x:c>
      <x:c r="C132" s="51" t="str">
        <x:v>Травмы шеи</x:v>
      </x:c>
      <x:c r="D132" s="39" t="n">
        <x:v>102</x:v>
      </x:c>
      <x:c r="E132" s="45" t="n">
        <x:v>44</x:v>
      </x:c>
      <x:c r="F132" s="45" t="n">
        <x:v>35</x:v>
      </x:c>
      <x:c r="G132" s="45" t="n">
        <x:v>58</x:v>
      </x:c>
      <x:c r="H132" s="45" t="n">
        <x:v>45.78431372549019</x:v>
      </x:c>
      <x:c r="I132" s="45" t="n">
        <x:v>8</x:v>
      </x:c>
      <x:c r="J132" s="45" t="n">
        <x:v>96</x:v>
      </x:c>
      <x:c r="K132" s="45" t="n">
        <x:v>23</x:v>
      </x:c>
      <x:c r="L132" s="33" t="str">
        <x:v>False</x:v>
      </x:c>
      <x:c r="M132" s="45" t="n">
        <x:v>19</x:v>
      </x:c>
    </x:row>
    <x:row r="133">
      <x:c r="A133" s="33" t="str">
        <x:v>XIX</x:v>
      </x:c>
      <x:c r="B133" s="33" t="str">
        <x:v>S20-S29</x:v>
      </x:c>
      <x:c r="C133" s="51" t="str">
        <x:v>Травмы грудной клетки</x:v>
      </x:c>
      <x:c r="D133" s="39" t="n">
        <x:v>495</x:v>
      </x:c>
      <x:c r="E133" s="45" t="n">
        <x:v>43</x:v>
      </x:c>
      <x:c r="F133" s="45" t="n">
        <x:v>35</x:v>
      </x:c>
      <x:c r="G133" s="45" t="n">
        <x:v>55</x:v>
      </x:c>
      <x:c r="H133" s="45" t="n">
        <x:v>45.76767676767677</x:v>
      </x:c>
      <x:c r="I133" s="45" t="n">
        <x:v>1</x:v>
      </x:c>
      <x:c r="J133" s="45" t="n">
        <x:v>93</x:v>
      </x:c>
      <x:c r="K133" s="45" t="n">
        <x:v>20</x:v>
      </x:c>
      <x:c r="L133" s="33" t="str">
        <x:v>False</x:v>
      </x:c>
      <x:c r="M133" s="45" t="n">
        <x:v>19</x:v>
      </x:c>
    </x:row>
    <x:row r="134">
      <x:c r="A134" s="33" t="str">
        <x:v>XIX</x:v>
      </x:c>
      <x:c r="B134" s="33" t="str">
        <x:v>S30-S39</x:v>
      </x:c>
      <x:c r="C134" s="51" t="str">
        <x:v>Травмы живота, нижней части спины, поясничного отдела позвоночника и таза</x:v>
      </x:c>
      <x:c r="D134" s="39" t="n">
        <x:v>168</x:v>
      </x:c>
      <x:c r="E134" s="45" t="n">
        <x:v>44</x:v>
      </x:c>
      <x:c r="F134" s="45" t="n">
        <x:v>33</x:v>
      </x:c>
      <x:c r="G134" s="45" t="n">
        <x:v>54.25</x:v>
      </x:c>
      <x:c r="H134" s="45" t="n">
        <x:v>44.916666666666664</x:v>
      </x:c>
      <x:c r="I134" s="45" t="n">
        <x:v>15</x:v>
      </x:c>
      <x:c r="J134" s="45" t="n">
        <x:v>85</x:v>
      </x:c>
      <x:c r="K134" s="45" t="n">
        <x:v>21.25</x:v>
      </x:c>
      <x:c r="L134" s="33" t="str">
        <x:v>False</x:v>
      </x:c>
      <x:c r="M134" s="45" t="n">
        <x:v>19</x:v>
      </x:c>
    </x:row>
    <x:row r="135">
      <x:c r="A135" s="33" t="str">
        <x:v>XIX</x:v>
      </x:c>
      <x:c r="B135" s="33" t="str">
        <x:v>S40-S49</x:v>
      </x:c>
      <x:c r="C135" s="51" t="str">
        <x:v>Травмы плечевого пояса и плеча</x:v>
      </x:c>
      <x:c r="D135" s="39" t="n">
        <x:v>32</x:v>
      </x:c>
      <x:c r="E135" s="45" t="n">
        <x:v>60</x:v>
      </x:c>
      <x:c r="F135" s="45" t="n">
        <x:v>39.75</x:v>
      </x:c>
      <x:c r="G135" s="45" t="n">
        <x:v>71.75</x:v>
      </x:c>
      <x:c r="H135" s="45" t="n">
        <x:v>58.40625</x:v>
      </x:c>
      <x:c r="I135" s="45" t="n">
        <x:v>24</x:v>
      </x:c>
      <x:c r="J135" s="45" t="n">
        <x:v>92</x:v>
      </x:c>
      <x:c r="K135" s="45" t="n">
        <x:v>32</x:v>
      </x:c>
      <x:c r="L135" s="33" t="str">
        <x:v>False</x:v>
      </x:c>
      <x:c r="M135" s="45" t="n">
        <x:v>19</x:v>
      </x:c>
    </x:row>
    <x:row r="136">
      <x:c r="A136" s="33" t="str">
        <x:v>XIX</x:v>
      </x:c>
      <x:c r="B136" s="33" t="str">
        <x:v>S50-S59</x:v>
      </x:c>
      <x:c r="C136" s="51" t="str">
        <x:v>Травмы локтя и предплечья</x:v>
      </x:c>
      <x:c r="D136" s="39" t="n">
        <x:v>25</x:v>
      </x:c>
      <x:c r="E136" s="45" t="n">
        <x:v>46</x:v>
      </x:c>
      <x:c r="F136" s="45" t="n">
        <x:v>36</x:v>
      </x:c>
      <x:c r="G136" s="45" t="n">
        <x:v>60</x:v>
      </x:c>
      <x:c r="H136" s="45" t="n">
        <x:v>48.48</x:v>
      </x:c>
      <x:c r="I136" s="45" t="n">
        <x:v>21</x:v>
      </x:c>
      <x:c r="J136" s="45" t="n">
        <x:v>80</x:v>
      </x:c>
      <x:c r="K136" s="45" t="n">
        <x:v>24</x:v>
      </x:c>
      <x:c r="L136" s="33" t="str">
        <x:v>False</x:v>
      </x:c>
      <x:c r="M136" s="45" t="n">
        <x:v>19</x:v>
      </x:c>
    </x:row>
    <x:row r="137">
      <x:c r="A137" s="33" t="str">
        <x:v>XIX</x:v>
      </x:c>
      <x:c r="B137" s="33" t="str">
        <x:v>S60-S69</x:v>
      </x:c>
      <x:c r="C137" s="51" t="str">
        <x:v>Травмы запястья и кисти</x:v>
      </x:c>
      <x:c r="D137" s="39" t="n">
        <x:v>1</x:v>
      </x:c>
      <x:c r="E137" s="45" t="n">
        <x:v>40</x:v>
      </x:c>
      <x:c r="F137" s="45" t="n">
        <x:v>40</x:v>
      </x:c>
      <x:c r="G137" s="45" t="n">
        <x:v>40</x:v>
      </x:c>
      <x:c r="H137" s="45" t="n">
        <x:v>40</x:v>
      </x:c>
      <x:c r="I137" s="45" t="n">
        <x:v>40</x:v>
      </x:c>
      <x:c r="J137" s="45" t="n">
        <x:v>40</x:v>
      </x:c>
      <x:c r="K137" s="45" t="n">
        <x:v>0</x:v>
      </x:c>
      <x:c r="L137" s="33" t="str">
        <x:v>True</x:v>
      </x:c>
      <x:c r="M137" s="45" t="n">
        <x:v>19</x:v>
      </x:c>
    </x:row>
    <x:row r="138">
      <x:c r="A138" s="33" t="str">
        <x:v>XIX</x:v>
      </x:c>
      <x:c r="B138" s="33" t="str">
        <x:v>S70-S79</x:v>
      </x:c>
      <x:c r="C138" s="51" t="str">
        <x:v>Травмы области тазобедренного сустава и бедра</x:v>
      </x:c>
      <x:c r="D138" s="39" t="n">
        <x:v>152</x:v>
      </x:c>
      <x:c r="E138" s="45" t="n">
        <x:v>77</x:v>
      </x:c>
      <x:c r="F138" s="45" t="n">
        <x:v>53.5</x:v>
      </x:c>
      <x:c r="G138" s="45" t="n">
        <x:v>84</x:v>
      </x:c>
      <x:c r="H138" s="45" t="n">
        <x:v>69.57894736842105</x:v>
      </x:c>
      <x:c r="I138" s="45" t="n">
        <x:v>23</x:v>
      </x:c>
      <x:c r="J138" s="45" t="n">
        <x:v>98</x:v>
      </x:c>
      <x:c r="K138" s="45" t="n">
        <x:v>30.5</x:v>
      </x:c>
      <x:c r="L138" s="33" t="str">
        <x:v>False</x:v>
      </x:c>
      <x:c r="M138" s="45" t="n">
        <x:v>19</x:v>
      </x:c>
    </x:row>
    <x:row r="139">
      <x:c r="A139" s="33" t="str">
        <x:v>XIX</x:v>
      </x:c>
      <x:c r="B139" s="33" t="str">
        <x:v>S80-S89</x:v>
      </x:c>
      <x:c r="C139" s="51" t="str">
        <x:v>Травмы колена и голени</x:v>
      </x:c>
      <x:c r="D139" s="39" t="n">
        <x:v>23</x:v>
      </x:c>
      <x:c r="E139" s="45" t="n">
        <x:v>47</x:v>
      </x:c>
      <x:c r="F139" s="45" t="n">
        <x:v>43.5</x:v>
      </x:c>
      <x:c r="G139" s="45" t="n">
        <x:v>61.5</x:v>
      </x:c>
      <x:c r="H139" s="45" t="n">
        <x:v>50.47826086956522</x:v>
      </x:c>
      <x:c r="I139" s="45" t="n">
        <x:v>28</x:v>
      </x:c>
      <x:c r="J139" s="45" t="n">
        <x:v>86</x:v>
      </x:c>
      <x:c r="K139" s="45" t="n">
        <x:v>18</x:v>
      </x:c>
      <x:c r="L139" s="33" t="str">
        <x:v>False</x:v>
      </x:c>
      <x:c r="M139" s="45" t="n">
        <x:v>19</x:v>
      </x:c>
    </x:row>
    <x:row r="140">
      <x:c r="A140" s="33" t="str">
        <x:v>XIX</x:v>
      </x:c>
      <x:c r="B140" s="33" t="str">
        <x:v>S90-S99</x:v>
      </x:c>
      <x:c r="C140" s="51" t="str">
        <x:v>Травмы области голеностопного сустава и стопы</x:v>
      </x:c>
      <x:c r="D140" s="39" t="n">
        <x:v>5</x:v>
      </x:c>
      <x:c r="E140" s="45" t="n">
        <x:v>44</x:v>
      </x:c>
      <x:c r="F140" s="45" t="n">
        <x:v>34</x:v>
      </x:c>
      <x:c r="G140" s="45" t="n">
        <x:v>44</x:v>
      </x:c>
      <x:c r="H140" s="45" t="n">
        <x:v>38.6</x:v>
      </x:c>
      <x:c r="I140" s="45" t="n">
        <x:v>18</x:v>
      </x:c>
      <x:c r="J140" s="45" t="n">
        <x:v>53</x:v>
      </x:c>
      <x:c r="K140" s="45" t="n">
        <x:v>10</x:v>
      </x:c>
      <x:c r="L140" s="33" t="str">
        <x:v>False</x:v>
      </x:c>
      <x:c r="M140" s="45" t="n">
        <x:v>19</x:v>
      </x:c>
    </x:row>
    <x:row r="141">
      <x:c r="A141" s="33" t="str">
        <x:v>XIX</x:v>
      </x:c>
      <x:c r="B141" s="33" t="str">
        <x:v>T00-T07</x:v>
      </x:c>
      <x:c r="C141" s="51" t="str">
        <x:v>Травмы, захватывающие несколько областей тела</x:v>
      </x:c>
      <x:c r="D141" s="39" t="n">
        <x:v>2230</x:v>
      </x:c>
      <x:c r="E141" s="45" t="n">
        <x:v>39</x:v>
      </x:c>
      <x:c r="F141" s="45" t="n">
        <x:v>30</x:v>
      </x:c>
      <x:c r="G141" s="45" t="n">
        <x:v>48</x:v>
      </x:c>
      <x:c r="H141" s="45" t="n">
        <x:v>39.6932735426009</x:v>
      </x:c>
      <x:c r="I141" s="45" t="n">
        <x:v>0</x:v>
      </x:c>
      <x:c r="J141" s="45" t="n">
        <x:v>91</x:v>
      </x:c>
      <x:c r="K141" s="45" t="n">
        <x:v>18</x:v>
      </x:c>
      <x:c r="L141" s="33" t="str">
        <x:v>False</x:v>
      </x:c>
      <x:c r="M141" s="45" t="n">
        <x:v>19</x:v>
      </x:c>
    </x:row>
    <x:row r="142">
      <x:c r="A142" s="33" t="str">
        <x:v>XIX</x:v>
      </x:c>
      <x:c r="B142" s="33" t="str">
        <x:v>T08-T14</x:v>
      </x:c>
      <x:c r="C142" s="51" t="str">
        <x:v>Травмы неуточненной части туловища, конечности или области тела</x:v>
      </x:c>
      <x:c r="D142" s="39" t="n">
        <x:v>31</x:v>
      </x:c>
      <x:c r="E142" s="45" t="n">
        <x:v>39</x:v>
      </x:c>
      <x:c r="F142" s="45" t="n">
        <x:v>28</x:v>
      </x:c>
      <x:c r="G142" s="45" t="n">
        <x:v>46.5</x:v>
      </x:c>
      <x:c r="H142" s="45" t="n">
        <x:v>38.16129032258065</x:v>
      </x:c>
      <x:c r="I142" s="45" t="n">
        <x:v>19</x:v>
      </x:c>
      <x:c r="J142" s="45" t="n">
        <x:v>61</x:v>
      </x:c>
      <x:c r="K142" s="45" t="n">
        <x:v>18.5</x:v>
      </x:c>
      <x:c r="L142" s="33" t="str">
        <x:v>False</x:v>
      </x:c>
      <x:c r="M142" s="45" t="n">
        <x:v>19</x:v>
      </x:c>
    </x:row>
    <x:row r="143">
      <x:c r="A143" s="33" t="str">
        <x:v>XIX</x:v>
      </x:c>
      <x:c r="B143" s="33" t="str">
        <x:v>T15-T19</x:v>
      </x:c>
      <x:c r="C143" s="51" t="str">
        <x:v>Последствия проникновения инородного тела через естественные отверстия</x:v>
      </x:c>
      <x:c r="D143" s="39" t="n">
        <x:v>336</x:v>
      </x:c>
      <x:c r="E143" s="45" t="n">
        <x:v>60</x:v>
      </x:c>
      <x:c r="F143" s="45" t="n">
        <x:v>45</x:v>
      </x:c>
      <x:c r="G143" s="45" t="n">
        <x:v>69</x:v>
      </x:c>
      <x:c r="H143" s="45" t="n">
        <x:v>57.36011904761905</x:v>
      </x:c>
      <x:c r="I143" s="45" t="n">
        <x:v>0</x:v>
      </x:c>
      <x:c r="J143" s="45" t="n">
        <x:v>92</x:v>
      </x:c>
      <x:c r="K143" s="45" t="n">
        <x:v>24</x:v>
      </x:c>
      <x:c r="L143" s="33" t="str">
        <x:v>False</x:v>
      </x:c>
      <x:c r="M143" s="45" t="n">
        <x:v>19</x:v>
      </x:c>
    </x:row>
    <x:row r="144">
      <x:c r="A144" s="33" t="str">
        <x:v>XIX</x:v>
      </x:c>
      <x:c r="B144" s="33" t="str">
        <x:v>T20-T32</x:v>
      </x:c>
      <x:c r="C144" s="51" t="str">
        <x:v>Термические и химические ожоги</x:v>
      </x:c>
      <x:c r="D144" s="39" t="n">
        <x:v>111</x:v>
      </x:c>
      <x:c r="E144" s="45" t="n">
        <x:v>54</x:v>
      </x:c>
      <x:c r="F144" s="45" t="n">
        <x:v>39</x:v>
      </x:c>
      <x:c r="G144" s="45" t="n">
        <x:v>65.5</x:v>
      </x:c>
      <x:c r="H144" s="45" t="n">
        <x:v>51.765765765765764</x:v>
      </x:c>
      <x:c r="I144" s="45" t="n">
        <x:v>15</x:v>
      </x:c>
      <x:c r="J144" s="45" t="n">
        <x:v>90</x:v>
      </x:c>
      <x:c r="K144" s="45" t="n">
        <x:v>26.5</x:v>
      </x:c>
      <x:c r="L144" s="33" t="str">
        <x:v>False</x:v>
      </x:c>
      <x:c r="M144" s="45" t="n">
        <x:v>19</x:v>
      </x:c>
    </x:row>
    <x:row r="145">
      <x:c r="A145" s="33" t="str">
        <x:v>XIX</x:v>
      </x:c>
      <x:c r="B145" s="33" t="str">
        <x:v>T33-T35</x:v>
      </x:c>
      <x:c r="C145" s="51" t="str">
        <x:v>Отморожение</x:v>
      </x:c>
      <x:c r="D145" s="39" t="n">
        <x:v>21</x:v>
      </x:c>
      <x:c r="E145" s="45" t="n">
        <x:v>64</x:v>
      </x:c>
      <x:c r="F145" s="45" t="n">
        <x:v>55</x:v>
      </x:c>
      <x:c r="G145" s="45" t="n">
        <x:v>71</x:v>
      </x:c>
      <x:c r="H145" s="45" t="n">
        <x:v>60.857142857142854</x:v>
      </x:c>
      <x:c r="I145" s="45" t="n">
        <x:v>30</x:v>
      </x:c>
      <x:c r="J145" s="45" t="n">
        <x:v>76</x:v>
      </x:c>
      <x:c r="K145" s="45" t="n">
        <x:v>16</x:v>
      </x:c>
      <x:c r="L145" s="33" t="str">
        <x:v>False</x:v>
      </x:c>
      <x:c r="M145" s="45" t="n">
        <x:v>19</x:v>
      </x:c>
    </x:row>
    <x:row r="146">
      <x:c r="A146" s="33" t="str">
        <x:v>XIX</x:v>
      </x:c>
      <x:c r="B146" s="33" t="str">
        <x:v>T36-T50</x:v>
      </x:c>
      <x:c r="C146" s="51" t="str">
        <x:v>Отравления лекарственными средствами, медикаментами и биологическими веществами</x:v>
      </x:c>
      <x:c r="D146" s="39" t="n">
        <x:v>232</x:v>
      </x:c>
      <x:c r="E146" s="45" t="n">
        <x:v>40</x:v>
      </x:c>
      <x:c r="F146" s="45" t="n">
        <x:v>34</x:v>
      </x:c>
      <x:c r="G146" s="45" t="n">
        <x:v>46</x:v>
      </x:c>
      <x:c r="H146" s="45" t="n">
        <x:v>41.09051724137931</x:v>
      </x:c>
      <x:c r="I146" s="45" t="n">
        <x:v>2</x:v>
      </x:c>
      <x:c r="J146" s="45" t="n">
        <x:v>89</x:v>
      </x:c>
      <x:c r="K146" s="45" t="n">
        <x:v>12</x:v>
      </x:c>
      <x:c r="L146" s="33" t="str">
        <x:v>False</x:v>
      </x:c>
      <x:c r="M146" s="45" t="n">
        <x:v>19</x:v>
      </x:c>
    </x:row>
    <x:row r="147">
      <x:c r="A147" s="33" t="str">
        <x:v>XIX</x:v>
      </x:c>
      <x:c r="B147" s="33" t="str">
        <x:v>T51-T65</x:v>
      </x:c>
      <x:c r="C147" s="51" t="str">
        <x:v>Токсическое действие веществ, преимущественно немедицинского назначения</x:v>
      </x:c>
      <x:c r="D147" s="39" t="n">
        <x:v>1644</x:v>
      </x:c>
      <x:c r="E147" s="45" t="n">
        <x:v>50</x:v>
      </x:c>
      <x:c r="F147" s="45" t="n">
        <x:v>40</x:v>
      </x:c>
      <x:c r="G147" s="45" t="n">
        <x:v>60</x:v>
      </x:c>
      <x:c r="H147" s="45" t="n">
        <x:v>49.795012165450125</x:v>
      </x:c>
      <x:c r="I147" s="45" t="n">
        <x:v>1</x:v>
      </x:c>
      <x:c r="J147" s="45" t="n">
        <x:v>92</x:v>
      </x:c>
      <x:c r="K147" s="45" t="n">
        <x:v>20</x:v>
      </x:c>
      <x:c r="L147" s="33" t="str">
        <x:v>False</x:v>
      </x:c>
      <x:c r="M147" s="45" t="n">
        <x:v>19</x:v>
      </x:c>
    </x:row>
    <x:row r="148">
      <x:c r="A148" s="33" t="str">
        <x:v>XIX</x:v>
      </x:c>
      <x:c r="B148" s="33" t="str">
        <x:v>T66-T78</x:v>
      </x:c>
      <x:c r="C148" s="51" t="str">
        <x:v>Другие и неуточненные эффекты воздействия внешних причин</x:v>
      </x:c>
      <x:c r="D148" s="39" t="n">
        <x:v>1921</x:v>
      </x:c>
      <x:c r="E148" s="45" t="n">
        <x:v>43</x:v>
      </x:c>
      <x:c r="F148" s="45" t="n">
        <x:v>34</x:v>
      </x:c>
      <x:c r="G148" s="45" t="n">
        <x:v>57</x:v>
      </x:c>
      <x:c r="H148" s="45" t="n">
        <x:v>45.323789692868296</x:v>
      </x:c>
      <x:c r="I148" s="45" t="n">
        <x:v>0</x:v>
      </x:c>
      <x:c r="J148" s="45" t="n">
        <x:v>97</x:v>
      </x:c>
      <x:c r="K148" s="45" t="n">
        <x:v>23</x:v>
      </x:c>
      <x:c r="L148" s="33" t="str">
        <x:v>False</x:v>
      </x:c>
      <x:c r="M148" s="45" t="n">
        <x:v>19</x:v>
      </x:c>
    </x:row>
    <x:row r="149">
      <x:c r="A149" s="33" t="str">
        <x:v>XIX</x:v>
      </x:c>
      <x:c r="B149" s="33" t="str">
        <x:v>T79-T79</x:v>
      </x:c>
      <x:c r="C149" s="51" t="str">
        <x:v>Некоторые ранние осложнения травмы</x:v>
      </x:c>
      <x:c r="D149" s="39" t="n">
        <x:v>2</x:v>
      </x:c>
      <x:c r="E149" s="45" t="n">
        <x:v>59</x:v>
      </x:c>
      <x:c r="F149" s="45" t="n">
        <x:v>58</x:v>
      </x:c>
      <x:c r="G149" s="45" t="n">
        <x:v>60</x:v>
      </x:c>
      <x:c r="H149" s="45" t="n">
        <x:v>59</x:v>
      </x:c>
      <x:c r="I149" s="45" t="n">
        <x:v>57</x:v>
      </x:c>
      <x:c r="J149" s="45" t="n">
        <x:v>61</x:v>
      </x:c>
      <x:c r="K149" s="45" t="n">
        <x:v>2</x:v>
      </x:c>
      <x:c r="L149" s="33" t="str">
        <x:v>True</x:v>
      </x:c>
      <x:c r="M149" s="45" t="n">
        <x:v>19</x:v>
      </x:c>
    </x:row>
    <x:row r="150">
      <x:c r="A150" s="33" t="str">
        <x:v>XIX</x:v>
      </x:c>
      <x:c r="B150" s="33" t="str">
        <x:v>T80-T88</x:v>
      </x:c>
      <x:c r="C150" s="51" t="str">
        <x:v>Осложнения хирургических и терапевтических вмешательств, не классифицированные в других рубриках</x:v>
      </x:c>
      <x:c r="D150" s="39" t="n">
        <x:v>39</x:v>
      </x:c>
      <x:c r="E150" s="45" t="n">
        <x:v>61</x:v>
      </x:c>
      <x:c r="F150" s="45" t="n">
        <x:v>51.5</x:v>
      </x:c>
      <x:c r="G150" s="45" t="n">
        <x:v>73</x:v>
      </x:c>
      <x:c r="H150" s="45" t="n">
        <x:v>59.41025641025641</x:v>
      </x:c>
      <x:c r="I150" s="45" t="n">
        <x:v>2</x:v>
      </x:c>
      <x:c r="J150" s="45" t="n">
        <x:v>88</x:v>
      </x:c>
      <x:c r="K150" s="45" t="n">
        <x:v>21.5</x:v>
      </x:c>
      <x:c r="L150" s="33" t="str">
        <x:v>False</x:v>
      </x:c>
      <x:c r="M150" s="45" t="n">
        <x:v>19</x:v>
      </x:c>
    </x:row>
    <x:row r="151">
      <x:c r="A151" s="33" t="str">
        <x:v>XIX</x:v>
      </x:c>
      <x:c r="B151" s="33" t="str">
        <x:v>T90-T98</x:v>
      </x:c>
      <x:c r="C151" s="51" t="str">
        <x:v>Последствия травм, отравлений и других воздействий внешних причин</x:v>
      </x:c>
      <x:c r="D151" s="39" t="n">
        <x:v>199</x:v>
      </x:c>
      <x:c r="E151" s="45" t="n">
        <x:v>78</x:v>
      </x:c>
      <x:c r="F151" s="45" t="n">
        <x:v>65</x:v>
      </x:c>
      <x:c r="G151" s="45" t="n">
        <x:v>86</x:v>
      </x:c>
      <x:c r="H151" s="45" t="n">
        <x:v>73.63316582914572</x:v>
      </x:c>
      <x:c r="I151" s="45" t="n">
        <x:v>25</x:v>
      </x:c>
      <x:c r="J151" s="45" t="n">
        <x:v>98</x:v>
      </x:c>
      <x:c r="K151" s="45" t="n">
        <x:v>21</x:v>
      </x:c>
      <x:c r="L151" s="33" t="str">
        <x:v>False</x:v>
      </x:c>
      <x:c r="M151" s="45" t="n">
        <x:v>19</x:v>
      </x:c>
    </x:row>
    <x:row r="152">
      <x:c r="A152" s="34" t="str">
        <x:v>XXII</x:v>
      </x:c>
      <x:c r="B152" s="34" t="str">
        <x:v>U00-U49</x:v>
      </x:c>
      <x:c r="C152" s="52" t="str">
        <x:v>Предварительное назначение новых заболеваний неопределенной этиологии или использования в чрезвычайных ситуациях</x:v>
      </x:c>
      <x:c r="D152" s="40" t="n">
        <x:v>803</x:v>
      </x:c>
      <x:c r="E152" s="46" t="n">
        <x:v>72</x:v>
      </x:c>
      <x:c r="F152" s="46" t="n">
        <x:v>65</x:v>
      </x:c>
      <x:c r="G152" s="46" t="n">
        <x:v>81</x:v>
      </x:c>
      <x:c r="H152" s="46" t="n">
        <x:v>71.8318804483188</x:v>
      </x:c>
      <x:c r="I152" s="46" t="n">
        <x:v>16</x:v>
      </x:c>
      <x:c r="J152" s="46" t="n">
        <x:v>99</x:v>
      </x:c>
      <x:c r="K152" s="46" t="n">
        <x:v>16</x:v>
      </x:c>
      <x:c r="L152" s="34" t="str">
        <x:v>False</x:v>
      </x:c>
      <x:c r="M152" s="46" t="n">
        <x:v>22</x:v>
      </x:c>
    </x:row>
  </x:sheetData>
  <x:conditionalFormatting sqref="L2:L152">
    <x:cfRule type="containsText" dxfId="1" priority="1" operator="containsText" text="TRUE"/>
  </x:conditionalFormatting>
  <x:pageMargins left="0.7" right="0.7" top="0.75" bottom="0.75" header="0.3" footer="0.3"/>
  <x:tableParts count="1">
    <x:tablePart xmlns:r="http://schemas.openxmlformats.org/officeDocument/2006/relationships" r:id="Rf859eb4f5da440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42" hidden="0" customWidth="1"/>
    <x:col min="4" max="4" width="13" hidden="0" customWidth="1"/>
    <x:col min="5" max="5" width="10" hidden="0" customWidth="1"/>
    <x:col min="6" max="6" width="17" hidden="0" customWidth="1"/>
    <x:col min="7" max="7" width="11" hidden="0" customWidth="1"/>
    <x:col min="8" max="8" width="11" hidden="0" customWidth="1"/>
    <x:col min="9" max="9" width="17" hidden="0" customWidth="1"/>
    <x:col min="10" max="10" width="12" hidden="0" customWidth="1"/>
    <x:col min="11" max="11" width="12" hidden="0" customWidth="1"/>
    <x:col min="12" max="12" width="52" hidden="0" customWidth="1"/>
    <x:col min="13" max="13" width="11" hidden="0" customWidth="1"/>
    <x:col min="14" max="14" width="10" hidden="0" customWidth="1"/>
    <x:col min="15" max="15" width="14" hidden="0" customWidth="1"/>
  </x:cols>
  <x:sheetData>
    <x:row r="1" ht="32" customHeight="1">
      <x:c r="A1" s="18" t="str">
        <x:v>Класс МКБ-10</x:v>
      </x:c>
      <x:c r="B1" s="19" t="str">
        <x:v>Код блока</x:v>
      </x:c>
      <x:c r="C1" s="19" t="str">
        <x:v>Описание блока</x:v>
      </x:c>
      <x:c r="D1" s="19" t="str">
        <x:v>Код ICD-3</x:v>
      </x:c>
      <x:c r="E1" s="19" t="str">
        <x:v>n</x:v>
      </x:c>
      <x:c r="F1" s="19" t="str">
        <x:v>Медиана возраста</x:v>
      </x:c>
      <x:c r="G1" s="19" t="str">
        <x:v>Q1</x:v>
      </x:c>
      <x:c r="H1" s="19" t="str">
        <x:v>Q3</x:v>
      </x:c>
      <x:c r="I1" s="19" t="str">
        <x:v>Средний возраст</x:v>
      </x:c>
      <x:c r="J1" s="19" t="str">
        <x:v>Минимум</x:v>
      </x:c>
      <x:c r="K1" s="19" t="str">
        <x:v>Максимум</x:v>
      </x:c>
      <x:c r="L1" s="19" t="str">
        <x:v>Описание рубрики</x:v>
      </x:c>
      <x:c r="M1" s="19" t="str">
        <x:v>IQR</x:v>
      </x:c>
      <x:c r="N1" s="19" t="str">
        <x:v>n&lt;5</x:v>
      </x:c>
      <x:c r="O1" s="20" t="str">
        <x:v>Порядок класса</x:v>
      </x:c>
    </x:row>
    <x:row r="2">
      <x:c r="A2" s="32" t="str">
        <x:v>I</x:v>
      </x:c>
      <x:c r="B2" s="32" t="str">
        <x:v>A00-A09</x:v>
      </x:c>
      <x:c r="C2" s="50" t="str">
        <x:v>Кишечные инфекции</x:v>
      </x:c>
      <x:c r="D2" s="32" t="str">
        <x:v>A02</x:v>
      </x:c>
      <x:c r="E2" s="38" t="n">
        <x:v>1</x:v>
      </x:c>
      <x:c r="F2" s="44" t="n">
        <x:v>46</x:v>
      </x:c>
      <x:c r="G2" s="44" t="n">
        <x:v>46</x:v>
      </x:c>
      <x:c r="H2" s="44" t="n">
        <x:v>46</x:v>
      </x:c>
      <x:c r="I2" s="44" t="n">
        <x:v>46</x:v>
      </x:c>
      <x:c r="J2" s="44" t="n">
        <x:v>46</x:v>
      </x:c>
      <x:c r="K2" s="44" t="n">
        <x:v>46</x:v>
      </x:c>
      <x:c r="L2" s="50" t="str">
        <x:v>Сальмонеллезный энтерит</x:v>
      </x:c>
      <x:c r="M2" s="44" t="n">
        <x:v>0</x:v>
      </x:c>
      <x:c r="N2" s="32" t="str">
        <x:v>True</x:v>
      </x:c>
      <x:c r="O2" s="44" t="n">
        <x:v>1</x:v>
      </x:c>
    </x:row>
    <x:row r="3">
      <x:c r="A3" s="33" t="str">
        <x:v>I</x:v>
      </x:c>
      <x:c r="B3" s="33" t="str">
        <x:v>A00-A09</x:v>
      </x:c>
      <x:c r="C3" s="51" t="str">
        <x:v>Кишечные инфекции</x:v>
      </x:c>
      <x:c r="D3" s="33" t="str">
        <x:v>A04</x:v>
      </x:c>
      <x:c r="E3" s="39" t="n">
        <x:v>29</x:v>
      </x:c>
      <x:c r="F3" s="45" t="n">
        <x:v>68</x:v>
      </x:c>
      <x:c r="G3" s="45" t="n">
        <x:v>48</x:v>
      </x:c>
      <x:c r="H3" s="45" t="n">
        <x:v>74</x:v>
      </x:c>
      <x:c r="I3" s="45" t="n">
        <x:v>60.206896551724135</x:v>
      </x:c>
      <x:c r="J3" s="45" t="n">
        <x:v>0</x:v>
      </x:c>
      <x:c r="K3" s="45" t="n">
        <x:v>95</x:v>
      </x:c>
      <x:c r="L3" s="51" t="str">
        <x:v>Энтероколит, вызванный Clostridium difficile</x:v>
      </x:c>
      <x:c r="M3" s="45" t="n">
        <x:v>26</x:v>
      </x:c>
      <x:c r="N3" s="33" t="str">
        <x:v>False</x:v>
      </x:c>
      <x:c r="O3" s="45" t="n">
        <x:v>1</x:v>
      </x:c>
    </x:row>
    <x:row r="4">
      <x:c r="A4" s="33" t="str">
        <x:v>I</x:v>
      </x:c>
      <x:c r="B4" s="33" t="str">
        <x:v>A00-A09</x:v>
      </x:c>
      <x:c r="C4" s="51" t="str">
        <x:v>Кишечные инфекции</x:v>
      </x:c>
      <x:c r="D4" s="33" t="str">
        <x:v>A05</x:v>
      </x:c>
      <x:c r="E4" s="39" t="n">
        <x:v>1</x:v>
      </x:c>
      <x:c r="F4" s="45" t="n">
        <x:v>40</x:v>
      </x:c>
      <x:c r="G4" s="45" t="n">
        <x:v>40</x:v>
      </x:c>
      <x:c r="H4" s="45" t="n">
        <x:v>40</x:v>
      </x:c>
      <x:c r="I4" s="45" t="n">
        <x:v>40</x:v>
      </x:c>
      <x:c r="J4" s="45" t="n">
        <x:v>40</x:v>
      </x:c>
      <x:c r="K4" s="45" t="n">
        <x:v>40</x:v>
      </x:c>
      <x:c r="L4" s="51" t="str">
        <x:v>Бактериальное пищевое отравление неуточненное</x:v>
      </x:c>
      <x:c r="M4" s="45" t="n">
        <x:v>0</x:v>
      </x:c>
      <x:c r="N4" s="33" t="str">
        <x:v>True</x:v>
      </x:c>
      <x:c r="O4" s="45" t="n">
        <x:v>1</x:v>
      </x:c>
    </x:row>
    <x:row r="5">
      <x:c r="A5" s="33" t="str">
        <x:v>I</x:v>
      </x:c>
      <x:c r="B5" s="33" t="str">
        <x:v>A00-A09</x:v>
      </x:c>
      <x:c r="C5" s="51" t="str">
        <x:v>Кишечные инфекции</x:v>
      </x:c>
      <x:c r="D5" s="33" t="str">
        <x:v>A08</x:v>
      </x:c>
      <x:c r="E5" s="39" t="n">
        <x:v>2</x:v>
      </x:c>
      <x:c r="F5" s="45" t="n">
        <x:v>26.5</x:v>
      </x:c>
      <x:c r="G5" s="45" t="n">
        <x:v>14.75</x:v>
      </x:c>
      <x:c r="H5" s="45" t="n">
        <x:v>38.25</x:v>
      </x:c>
      <x:c r="I5" s="45" t="n">
        <x:v>26.5</x:v>
      </x:c>
      <x:c r="J5" s="45" t="n">
        <x:v>3</x:v>
      </x:c>
      <x:c r="K5" s="45" t="n">
        <x:v>50</x:v>
      </x:c>
      <x:c r="L5" s="51" t="str">
        <x:v>Ротавирусный энтерит</x:v>
      </x:c>
      <x:c r="M5" s="45" t="n">
        <x:v>23.5</x:v>
      </x:c>
      <x:c r="N5" s="33" t="str">
        <x:v>True</x:v>
      </x:c>
      <x:c r="O5" s="45" t="n">
        <x:v>1</x:v>
      </x:c>
    </x:row>
    <x:row r="6">
      <x:c r="A6" s="33" t="str">
        <x:v>I</x:v>
      </x:c>
      <x:c r="B6" s="33" t="str">
        <x:v>A00-A09</x:v>
      </x:c>
      <x:c r="C6" s="51" t="str">
        <x:v>Кишечные инфекции</x:v>
      </x:c>
      <x:c r="D6" s="33" t="str">
        <x:v>A09</x:v>
      </x:c>
      <x:c r="E6" s="39" t="n">
        <x:v>15</x:v>
      </x:c>
      <x:c r="F6" s="45" t="n">
        <x:v>53</x:v>
      </x:c>
      <x:c r="G6" s="45" t="n">
        <x:v>3.5</x:v>
      </x:c>
      <x:c r="H6" s="45" t="n">
        <x:v>69.5</x:v>
      </x:c>
      <x:c r="I6" s="45" t="n">
        <x:v>42.266666666666666</x:v>
      </x:c>
      <x:c r="J6" s="45" t="n">
        <x:v>0</x:v>
      </x:c>
      <x:c r="K6" s="45" t="n">
        <x:v>80</x:v>
      </x:c>
      <x:c r="L6" s="51" t="str">
        <x:v>Другой и неуточненный гастроэнтерит и колит инфекционного происхождения</x:v>
      </x:c>
      <x:c r="M6" s="45" t="n">
        <x:v>66</x:v>
      </x:c>
      <x:c r="N6" s="33" t="str">
        <x:v>False</x:v>
      </x:c>
      <x:c r="O6" s="45" t="n">
        <x:v>1</x:v>
      </x:c>
    </x:row>
    <x:row r="7">
      <x:c r="A7" s="33" t="str">
        <x:v>I</x:v>
      </x:c>
      <x:c r="B7" s="33" t="str">
        <x:v>A15-A19</x:v>
      </x:c>
      <x:c r="C7" s="51" t="str">
        <x:v>Туберкулез</x:v>
      </x:c>
      <x:c r="D7" s="33" t="str">
        <x:v>A15</x:v>
      </x:c>
      <x:c r="E7" s="39" t="n">
        <x:v>306</x:v>
      </x:c>
      <x:c r="F7" s="45" t="n">
        <x:v>46</x:v>
      </x:c>
      <x:c r="G7" s="45" t="n">
        <x:v>38</x:v>
      </x:c>
      <x:c r="H7" s="45" t="n">
        <x:v>56</x:v>
      </x:c>
      <x:c r="I7" s="45" t="n">
        <x:v>47.42483660130719</x:v>
      </x:c>
      <x:c r="J7" s="45" t="n">
        <x:v>15</x:v>
      </x:c>
      <x:c r="K7" s="45" t="n">
        <x:v>97</x:v>
      </x:c>
      <x:c r="L7" s="51" t="str">
        <x:v>Туберкулез легких, подтвержденный гистологически</x:v>
      </x:c>
      <x:c r="M7" s="45" t="n">
        <x:v>18</x:v>
      </x:c>
      <x:c r="N7" s="33" t="str">
        <x:v>False</x:v>
      </x:c>
      <x:c r="O7" s="45" t="n">
        <x:v>1</x:v>
      </x:c>
    </x:row>
    <x:row r="8">
      <x:c r="A8" s="33" t="str">
        <x:v>I</x:v>
      </x:c>
      <x:c r="B8" s="33" t="str">
        <x:v>A15-A19</x:v>
      </x:c>
      <x:c r="C8" s="51" t="str">
        <x:v>Туберкулез</x:v>
      </x:c>
      <x:c r="D8" s="33" t="str">
        <x:v>A16</x:v>
      </x:c>
      <x:c r="E8" s="39" t="n">
        <x:v>38</x:v>
      </x:c>
      <x:c r="F8" s="45" t="n">
        <x:v>50.5</x:v>
      </x:c>
      <x:c r="G8" s="45" t="n">
        <x:v>43.25</x:v>
      </x:c>
      <x:c r="H8" s="45" t="n">
        <x:v>59</x:v>
      </x:c>
      <x:c r="I8" s="45" t="n">
        <x:v>51.28947368421053</x:v>
      </x:c>
      <x:c r="J8" s="45" t="n">
        <x:v>33</x:v>
      </x:c>
      <x:c r="K8" s="45" t="n">
        <x:v>86</x:v>
      </x:c>
      <x:c r="L8" s="51" t="str">
        <x:v>Туберкулез легких без упоминания о бактериологическом или гистологическом подтверждении</x:v>
      </x:c>
      <x:c r="M8" s="45" t="n">
        <x:v>15.75</x:v>
      </x:c>
      <x:c r="N8" s="33" t="str">
        <x:v>False</x:v>
      </x:c>
      <x:c r="O8" s="45" t="n">
        <x:v>1</x:v>
      </x:c>
    </x:row>
    <x:row r="9">
      <x:c r="A9" s="33" t="str">
        <x:v>I</x:v>
      </x:c>
      <x:c r="B9" s="33" t="str">
        <x:v>A15-A19</x:v>
      </x:c>
      <x:c r="C9" s="51" t="str">
        <x:v>Туберкулез</x:v>
      </x:c>
      <x:c r="D9" s="33" t="str">
        <x:v>A18</x:v>
      </x:c>
      <x:c r="E9" s="39" t="n">
        <x:v>1</x:v>
      </x:c>
      <x:c r="F9" s="45" t="n">
        <x:v>59</x:v>
      </x:c>
      <x:c r="G9" s="45" t="n">
        <x:v>59</x:v>
      </x:c>
      <x:c r="H9" s="45" t="n">
        <x:v>59</x:v>
      </x:c>
      <x:c r="I9" s="45" t="n">
        <x:v>59</x:v>
      </x:c>
      <x:c r="J9" s="45" t="n">
        <x:v>59</x:v>
      </x:c>
      <x:c r="K9" s="45" t="n">
        <x:v>59</x:v>
      </x:c>
      <x:c r="L9" s="51" t="str">
        <x:v>Туберкулез других органов</x:v>
      </x:c>
      <x:c r="M9" s="45" t="n">
        <x:v>0</x:v>
      </x:c>
      <x:c r="N9" s="33" t="str">
        <x:v>True</x:v>
      </x:c>
      <x:c r="O9" s="45" t="n">
        <x:v>1</x:v>
      </x:c>
    </x:row>
    <x:row r="10">
      <x:c r="A10" s="33" t="str">
        <x:v>I</x:v>
      </x:c>
      <x:c r="B10" s="33" t="str">
        <x:v>A15-A19</x:v>
      </x:c>
      <x:c r="C10" s="51" t="str">
        <x:v>Туберкулез</x:v>
      </x:c>
      <x:c r="D10" s="33" t="str">
        <x:v>A19</x:v>
      </x:c>
      <x:c r="E10" s="39" t="n">
        <x:v>7</x:v>
      </x:c>
      <x:c r="F10" s="45" t="n">
        <x:v>53</x:v>
      </x:c>
      <x:c r="G10" s="45" t="n">
        <x:v>42</x:v>
      </x:c>
      <x:c r="H10" s="45" t="n">
        <x:v>71</x:v>
      </x:c>
      <x:c r="I10" s="45" t="n">
        <x:v>56.714285714285715</x:v>
      </x:c>
      <x:c r="J10" s="45" t="n">
        <x:v>32</x:v>
      </x:c>
      <x:c r="K10" s="45" t="n">
        <x:v>86</x:v>
      </x:c>
      <x:c r="L10" s="51" t="str">
        <x:v>Острый милиарный туберкулез одной уточненной локализации</x:v>
      </x:c>
      <x:c r="M10" s="45" t="n">
        <x:v>29</x:v>
      </x:c>
      <x:c r="N10" s="33" t="str">
        <x:v>False</x:v>
      </x:c>
      <x:c r="O10" s="45" t="n">
        <x:v>1</x:v>
      </x:c>
    </x:row>
    <x:row r="11">
      <x:c r="A11" s="33" t="str">
        <x:v>I</x:v>
      </x:c>
      <x:c r="B11" s="33" t="str">
        <x:v>A30-A49</x:v>
      </x:c>
      <x:c r="C11" s="51" t="str">
        <x:v>Другие бактериальные болезни</x:v>
      </x:c>
      <x:c r="D11" s="33" t="str">
        <x:v>A31</x:v>
      </x:c>
      <x:c r="E11" s="39" t="n">
        <x:v>1</x:v>
      </x:c>
      <x:c r="F11" s="45" t="n">
        <x:v>61</x:v>
      </x:c>
      <x:c r="G11" s="45" t="n">
        <x:v>61</x:v>
      </x:c>
      <x:c r="H11" s="45" t="n">
        <x:v>61</x:v>
      </x:c>
      <x:c r="I11" s="45" t="n">
        <x:v>61</x:v>
      </x:c>
      <x:c r="J11" s="45" t="n">
        <x:v>61</x:v>
      </x:c>
      <x:c r="K11" s="45" t="n">
        <x:v>61</x:v>
      </x:c>
      <x:c r="L11" s="51" t="str">
        <x:v>Инфекция вызванная Mycobacterium</x:v>
      </x:c>
      <x:c r="M11" s="45" t="n">
        <x:v>0</x:v>
      </x:c>
      <x:c r="N11" s="33" t="str">
        <x:v>True</x:v>
      </x:c>
      <x:c r="O11" s="45" t="n">
        <x:v>1</x:v>
      </x:c>
    </x:row>
    <x:row r="12">
      <x:c r="A12" s="33" t="str">
        <x:v>I</x:v>
      </x:c>
      <x:c r="B12" s="33" t="str">
        <x:v>A30-A49</x:v>
      </x:c>
      <x:c r="C12" s="51" t="str">
        <x:v>Другие бактериальные болезни</x:v>
      </x:c>
      <x:c r="D12" s="33" t="str">
        <x:v>A32</x:v>
      </x:c>
      <x:c r="E12" s="39" t="n">
        <x:v>3</x:v>
      </x:c>
      <x:c r="F12" s="45" t="n">
        <x:v>47</x:v>
      </x:c>
      <x:c r="G12" s="45" t="n">
        <x:v>41.5</x:v>
      </x:c>
      <x:c r="H12" s="45" t="n">
        <x:v>52.5</x:v>
      </x:c>
      <x:c r="I12" s="45" t="n">
        <x:v>47</x:v>
      </x:c>
      <x:c r="J12" s="45" t="n">
        <x:v>36</x:v>
      </x:c>
      <x:c r="K12" s="45" t="n">
        <x:v>58</x:v>
      </x:c>
      <x:c r="L12" s="51" t="str">
        <x:v>Листериозный менингит и менингоэнцефалит</x:v>
      </x:c>
      <x:c r="M12" s="45" t="n">
        <x:v>11</x:v>
      </x:c>
      <x:c r="N12" s="33" t="str">
        <x:v>True</x:v>
      </x:c>
      <x:c r="O12" s="45" t="n">
        <x:v>1</x:v>
      </x:c>
    </x:row>
    <x:row r="13">
      <x:c r="A13" s="33" t="str">
        <x:v>I</x:v>
      </x:c>
      <x:c r="B13" s="33" t="str">
        <x:v>A30-A49</x:v>
      </x:c>
      <x:c r="C13" s="51" t="str">
        <x:v>Другие бактериальные болезни</x:v>
      </x:c>
      <x:c r="D13" s="33" t="str">
        <x:v>A39</x:v>
      </x:c>
      <x:c r="E13" s="39" t="n">
        <x:v>2</x:v>
      </x:c>
      <x:c r="F13" s="45" t="n">
        <x:v>9</x:v>
      </x:c>
      <x:c r="G13" s="45" t="n">
        <x:v>4.5</x:v>
      </x:c>
      <x:c r="H13" s="45" t="n">
        <x:v>13.5</x:v>
      </x:c>
      <x:c r="I13" s="45" t="n">
        <x:v>9</x:v>
      </x:c>
      <x:c r="J13" s="45" t="n">
        <x:v>0</x:v>
      </x:c>
      <x:c r="K13" s="45" t="n">
        <x:v>18</x:v>
      </x:c>
      <x:c r="L13" s="51" t="str">
        <x:v>Острая менингококковая эндокардит</x:v>
      </x:c>
      <x:c r="M13" s="45" t="n">
        <x:v>9</x:v>
      </x:c>
      <x:c r="N13" s="33" t="str">
        <x:v>True</x:v>
      </x:c>
      <x:c r="O13" s="45" t="n">
        <x:v>1</x:v>
      </x:c>
    </x:row>
    <x:row r="14">
      <x:c r="A14" s="33" t="str">
        <x:v>I</x:v>
      </x:c>
      <x:c r="B14" s="33" t="str">
        <x:v>A30-A49</x:v>
      </x:c>
      <x:c r="C14" s="51" t="str">
        <x:v>Другие бактериальные болезни</x:v>
      </x:c>
      <x:c r="D14" s="33" t="str">
        <x:v>A46</x:v>
      </x:c>
      <x:c r="E14" s="39" t="n">
        <x:v>31</x:v>
      </x:c>
      <x:c r="F14" s="45" t="n">
        <x:v>75</x:v>
      </x:c>
      <x:c r="G14" s="45" t="n">
        <x:v>70.5</x:v>
      </x:c>
      <x:c r="H14" s="45" t="n">
        <x:v>82</x:v>
      </x:c>
      <x:c r="I14" s="45" t="n">
        <x:v>73.70967741935483</x:v>
      </x:c>
      <x:c r="J14" s="45" t="n">
        <x:v>31</x:v>
      </x:c>
      <x:c r="K14" s="45" t="n">
        <x:v>92</x:v>
      </x:c>
      <x:c r="L14" s="51" t="str">
        <x:v>Рожа</x:v>
      </x:c>
      <x:c r="M14" s="45" t="n">
        <x:v>11.5</x:v>
      </x:c>
      <x:c r="N14" s="33" t="str">
        <x:v>False</x:v>
      </x:c>
      <x:c r="O14" s="45" t="n">
        <x:v>1</x:v>
      </x:c>
    </x:row>
    <x:row r="15">
      <x:c r="A15" s="33" t="str">
        <x:v>I</x:v>
      </x:c>
      <x:c r="B15" s="33" t="str">
        <x:v>A30-A49</x:v>
      </x:c>
      <x:c r="C15" s="51" t="str">
        <x:v>Другие бактериальные болезни</x:v>
      </x:c>
      <x:c r="D15" s="33" t="str">
        <x:v>A48</x:v>
      </x:c>
      <x:c r="E15" s="39" t="n">
        <x:v>4</x:v>
      </x:c>
      <x:c r="F15" s="45" t="n">
        <x:v>57</x:v>
      </x:c>
      <x:c r="G15" s="45" t="n">
        <x:v>33.75</x:v>
      </x:c>
      <x:c r="H15" s="45" t="n">
        <x:v>69.25</x:v>
      </x:c>
      <x:c r="I15" s="45" t="n">
        <x:v>46</x:v>
      </x:c>
      <x:c r="J15" s="45" t="n">
        <x:v>0</x:v>
      </x:c>
      <x:c r="K15" s="45" t="n">
        <x:v>70</x:v>
      </x:c>
      <x:c r="L15" s="51" t="str">
        <x:v>Газовая гангрена</x:v>
      </x:c>
      <x:c r="M15" s="45" t="n">
        <x:v>35.5</x:v>
      </x:c>
      <x:c r="N15" s="33" t="str">
        <x:v>True</x:v>
      </x:c>
      <x:c r="O15" s="45" t="n">
        <x:v>1</x:v>
      </x:c>
    </x:row>
    <x:row r="16">
      <x:c r="A16" s="33" t="str">
        <x:v>I</x:v>
      </x:c>
      <x:c r="B16" s="33" t="str">
        <x:v>A30-A49</x:v>
      </x:c>
      <x:c r="C16" s="51" t="str">
        <x:v>Другие бактериальные болезни</x:v>
      </x:c>
      <x:c r="D16" s="33" t="str">
        <x:v>A49</x:v>
      </x:c>
      <x:c r="E16" s="39" t="n">
        <x:v>2</x:v>
      </x:c>
      <x:c r="F16" s="45" t="n">
        <x:v>65</x:v>
      </x:c>
      <x:c r="G16" s="45" t="n">
        <x:v>64</x:v>
      </x:c>
      <x:c r="H16" s="45" t="n">
        <x:v>66</x:v>
      </x:c>
      <x:c r="I16" s="45" t="n">
        <x:v>65</x:v>
      </x:c>
      <x:c r="J16" s="45" t="n">
        <x:v>63</x:v>
      </x:c>
      <x:c r="K16" s="45" t="n">
        <x:v>67</x:v>
      </x:c>
      <x:c r="L16" s="51" t="str">
        <x:v>Бактериальная инфекция неуточненная</x:v>
      </x:c>
      <x:c r="M16" s="45" t="n">
        <x:v>2</x:v>
      </x:c>
      <x:c r="N16" s="33" t="str">
        <x:v>True</x:v>
      </x:c>
      <x:c r="O16" s="45" t="n">
        <x:v>1</x:v>
      </x:c>
    </x:row>
    <x:row r="17">
      <x:c r="A17" s="33" t="str">
        <x:v>I</x:v>
      </x:c>
      <x:c r="B17" s="33" t="str">
        <x:v>A50-A64</x:v>
      </x:c>
      <x:c r="C17" s="51" t="str">
        <x:v>Инфекции, передающиеся преимущественно половым путем</x:v>
      </x:c>
      <x:c r="D17" s="33" t="str">
        <x:v>A52</x:v>
      </x:c>
      <x:c r="E17" s="39" t="n">
        <x:v>3</x:v>
      </x:c>
      <x:c r="F17" s="45" t="n">
        <x:v>51</x:v>
      </x:c>
      <x:c r="G17" s="45" t="n">
        <x:v>48</x:v>
      </x:c>
      <x:c r="H17" s="45" t="n">
        <x:v>53</x:v>
      </x:c>
      <x:c r="I17" s="45" t="n">
        <x:v>50.333333333333336</x:v>
      </x:c>
      <x:c r="J17" s="45" t="n">
        <x:v>45</x:v>
      </x:c>
      <x:c r="K17" s="45" t="n">
        <x:v>55</x:v>
      </x:c>
      <x:c r="L17" s="51" t="str">
        <x:v>Нейросифилис с симптомами</x:v>
      </x:c>
      <x:c r="M17" s="45" t="n">
        <x:v>5</x:v>
      </x:c>
      <x:c r="N17" s="33" t="str">
        <x:v>True</x:v>
      </x:c>
      <x:c r="O17" s="45" t="n">
        <x:v>1</x:v>
      </x:c>
    </x:row>
    <x:row r="18">
      <x:c r="A18" s="33" t="str">
        <x:v>I</x:v>
      </x:c>
      <x:c r="B18" s="33" t="str">
        <x:v>A80-A89</x:v>
      </x:c>
      <x:c r="C18" s="51" t="str">
        <x:v>Вирусные инфекции центральной нервной системы</x:v>
      </x:c>
      <x:c r="D18" s="33" t="str">
        <x:v>A84</x:v>
      </x:c>
      <x:c r="E18" s="39" t="n">
        <x:v>1</x:v>
      </x:c>
      <x:c r="F18" s="45" t="n">
        <x:v>63</x:v>
      </x:c>
      <x:c r="G18" s="45" t="n">
        <x:v>63</x:v>
      </x:c>
      <x:c r="H18" s="45" t="n">
        <x:v>63</x:v>
      </x:c>
      <x:c r="I18" s="45" t="n">
        <x:v>63</x:v>
      </x:c>
      <x:c r="J18" s="45" t="n">
        <x:v>63</x:v>
      </x:c>
      <x:c r="K18" s="45" t="n">
        <x:v>63</x:v>
      </x:c>
      <x:c r="L18" s="51" t="str">
        <x:v>Энцефалит вызванный клещом</x:v>
      </x:c>
      <x:c r="M18" s="45" t="n">
        <x:v>0</x:v>
      </x:c>
      <x:c r="N18" s="33" t="str">
        <x:v>True</x:v>
      </x:c>
      <x:c r="O18" s="45" t="n">
        <x:v>1</x:v>
      </x:c>
    </x:row>
    <x:row r="19">
      <x:c r="A19" s="33" t="str">
        <x:v>I</x:v>
      </x:c>
      <x:c r="B19" s="33" t="str">
        <x:v>A80-A89</x:v>
      </x:c>
      <x:c r="C19" s="51" t="str">
        <x:v>Вирусные инфекции центральной нервной системы</x:v>
      </x:c>
      <x:c r="D19" s="33" t="str">
        <x:v>A86</x:v>
      </x:c>
      <x:c r="E19" s="39" t="n">
        <x:v>1</x:v>
      </x:c>
      <x:c r="F19" s="45" t="n">
        <x:v>28</x:v>
      </x:c>
      <x:c r="G19" s="45" t="n">
        <x:v>28</x:v>
      </x:c>
      <x:c r="H19" s="45" t="n">
        <x:v>28</x:v>
      </x:c>
      <x:c r="I19" s="45" t="n">
        <x:v>28</x:v>
      </x:c>
      <x:c r="J19" s="45" t="n">
        <x:v>28</x:v>
      </x:c>
      <x:c r="K19" s="45" t="n">
        <x:v>28</x:v>
      </x:c>
      <x:c r="L19" s="51" t="str">
        <x:v>Вирусный энцефалит неуточненный</x:v>
      </x:c>
      <x:c r="M19" s="45" t="n">
        <x:v>0</x:v>
      </x:c>
      <x:c r="N19" s="33" t="str">
        <x:v>True</x:v>
      </x:c>
      <x:c r="O19" s="45" t="n">
        <x:v>1</x:v>
      </x:c>
    </x:row>
    <x:row r="20">
      <x:c r="A20" s="33" t="str">
        <x:v>I</x:v>
      </x:c>
      <x:c r="B20" s="33" t="str">
        <x:v>B00-B09</x:v>
      </x:c>
      <x:c r="C20" s="51" t="str">
        <x:v>Вирусные инфекции, характеризующиеся поражениями кожи и слизистых оболочек</x:v>
      </x:c>
      <x:c r="D20" s="33" t="str">
        <x:v>B00</x:v>
      </x:c>
      <x:c r="E20" s="39" t="n">
        <x:v>1</x:v>
      </x:c>
      <x:c r="F20" s="45" t="n">
        <x:v>33</x:v>
      </x:c>
      <x:c r="G20" s="45" t="n">
        <x:v>33</x:v>
      </x:c>
      <x:c r="H20" s="45" t="n">
        <x:v>33</x:v>
      </x:c>
      <x:c r="I20" s="45" t="n">
        <x:v>33</x:v>
      </x:c>
      <x:c r="J20" s="45" t="n">
        <x:v>33</x:v>
      </x:c>
      <x:c r="K20" s="45" t="n">
        <x:v>33</x:v>
      </x:c>
      <x:c r="L20" s="51" t="str">
        <x:v>Герпетическая энцефалит</x:v>
      </x:c>
      <x:c r="M20" s="45" t="n">
        <x:v>0</x:v>
      </x:c>
      <x:c r="N20" s="33" t="str">
        <x:v>True</x:v>
      </x:c>
      <x:c r="O20" s="45" t="n">
        <x:v>1</x:v>
      </x:c>
    </x:row>
    <x:row r="21">
      <x:c r="A21" s="33" t="str">
        <x:v>I</x:v>
      </x:c>
      <x:c r="B21" s="33" t="str">
        <x:v>B15-B19</x:v>
      </x:c>
      <x:c r="C21" s="51" t="str">
        <x:v>Вирусный гепатит</x:v>
      </x:c>
      <x:c r="D21" s="33" t="str">
        <x:v>B18</x:v>
      </x:c>
      <x:c r="E21" s="39" t="n">
        <x:v>93</x:v>
      </x:c>
      <x:c r="F21" s="45" t="n">
        <x:v>53</x:v>
      </x:c>
      <x:c r="G21" s="45" t="n">
        <x:v>45</x:v>
      </x:c>
      <x:c r="H21" s="45" t="n">
        <x:v>65</x:v>
      </x:c>
      <x:c r="I21" s="45" t="n">
        <x:v>55.473118279569896</x:v>
      </x:c>
      <x:c r="J21" s="45" t="n">
        <x:v>29</x:v>
      </x:c>
      <x:c r="K21" s="45" t="n">
        <x:v>88</x:v>
      </x:c>
      <x:c r="L21" s="51" t="str">
        <x:v>Хронический вирусный гепатит C</x:v>
      </x:c>
      <x:c r="M21" s="45" t="n">
        <x:v>20</x:v>
      </x:c>
      <x:c r="N21" s="33" t="str">
        <x:v>False</x:v>
      </x:c>
      <x:c r="O21" s="45" t="n">
        <x:v>1</x:v>
      </x:c>
    </x:row>
    <x:row r="22">
      <x:c r="A22" s="33" t="str">
        <x:v>I</x:v>
      </x:c>
      <x:c r="B22" s="33" t="str">
        <x:v>B20-B24</x:v>
      </x:c>
      <x:c r="C22" s="51" t="str">
        <x:v>Болезнь, вызванная вирусом иммунодефицита человека [ВИЧ]</x:v>
      </x:c>
      <x:c r="D22" s="33" t="str">
        <x:v>B20</x:v>
      </x:c>
      <x:c r="E22" s="39" t="n">
        <x:v>148</x:v>
      </x:c>
      <x:c r="F22" s="45" t="n">
        <x:v>39</x:v>
      </x:c>
      <x:c r="G22" s="45" t="n">
        <x:v>34.75</x:v>
      </x:c>
      <x:c r="H22" s="45" t="n">
        <x:v>47</x:v>
      </x:c>
      <x:c r="I22" s="45" t="n">
        <x:v>41.08783783783784</x:v>
      </x:c>
      <x:c r="J22" s="45" t="n">
        <x:v>21</x:v>
      </x:c>
      <x:c r="K22" s="45" t="n">
        <x:v>65</x:v>
      </x:c>
      <x:c r="L22" s="51" t="str">
        <x:v>Болезнь, вызванная ВИЧ, с проявлениями множественных инфекций</x:v>
      </x:c>
      <x:c r="M22" s="45" t="n">
        <x:v>12.25</x:v>
      </x:c>
      <x:c r="N22" s="33" t="str">
        <x:v>False</x:v>
      </x:c>
      <x:c r="O22" s="45" t="n">
        <x:v>1</x:v>
      </x:c>
    </x:row>
    <x:row r="23">
      <x:c r="A23" s="33" t="str">
        <x:v>I</x:v>
      </x:c>
      <x:c r="B23" s="33" t="str">
        <x:v>B20-B24</x:v>
      </x:c>
      <x:c r="C23" s="51" t="str">
        <x:v>Болезнь, вызванная вирусом иммунодефицита человека [ВИЧ]</x:v>
      </x:c>
      <x:c r="D23" s="33" t="str">
        <x:v>B21</x:v>
      </x:c>
      <x:c r="E23" s="39" t="n">
        <x:v>4</x:v>
      </x:c>
      <x:c r="F23" s="45" t="n">
        <x:v>53.5</x:v>
      </x:c>
      <x:c r="G23" s="45" t="n">
        <x:v>47</x:v>
      </x:c>
      <x:c r="H23" s="45" t="n">
        <x:v>62</x:v>
      </x:c>
      <x:c r="I23" s="45" t="n">
        <x:v>55.5</x:v>
      </x:c>
      <x:c r="J23" s="45" t="n">
        <x:v>38</x:v>
      </x:c>
      <x:c r="K23" s="45" t="n">
        <x:v>77</x:v>
      </x:c>
      <x:c r="L23" s="51" t="str">
        <x:v>Болезнь, вызванная ВИЧ, с проявлениями других злокачественных новообразований</x:v>
      </x:c>
      <x:c r="M23" s="45" t="n">
        <x:v>15</x:v>
      </x:c>
      <x:c r="N23" s="33" t="str">
        <x:v>True</x:v>
      </x:c>
      <x:c r="O23" s="45" t="n">
        <x:v>1</x:v>
      </x:c>
    </x:row>
    <x:row r="24">
      <x:c r="A24" s="33" t="str">
        <x:v>I</x:v>
      </x:c>
      <x:c r="B24" s="33" t="str">
        <x:v>B20-B24</x:v>
      </x:c>
      <x:c r="C24" s="51" t="str">
        <x:v>Болезнь, вызванная вирусом иммунодефицита человека [ВИЧ]</x:v>
      </x:c>
      <x:c r="D24" s="33" t="str">
        <x:v>B22</x:v>
      </x:c>
      <x:c r="E24" s="39" t="n">
        <x:v>16</x:v>
      </x:c>
      <x:c r="F24" s="45" t="n">
        <x:v>45.5</x:v>
      </x:c>
      <x:c r="G24" s="45" t="n">
        <x:v>41.75</x:v>
      </x:c>
      <x:c r="H24" s="45" t="n">
        <x:v>53.75</x:v>
      </x:c>
      <x:c r="I24" s="45" t="n">
        <x:v>49.1875</x:v>
      </x:c>
      <x:c r="J24" s="45" t="n">
        <x:v>30</x:v>
      </x:c>
      <x:c r="K24" s="45" t="n">
        <x:v>77</x:v>
      </x:c>
      <x:c r="L24" s="51" t="str">
        <x:v>Болезнь, вызванная ВИЧ, с проявлениями изнуряющего синдрома</x:v>
      </x:c>
      <x:c r="M24" s="45" t="n">
        <x:v>12</x:v>
      </x:c>
      <x:c r="N24" s="33" t="str">
        <x:v>False</x:v>
      </x:c>
      <x:c r="O24" s="45" t="n">
        <x:v>1</x:v>
      </x:c>
    </x:row>
    <x:row r="25">
      <x:c r="A25" s="33" t="str">
        <x:v>I</x:v>
      </x:c>
      <x:c r="B25" s="33" t="str">
        <x:v>B20-B24</x:v>
      </x:c>
      <x:c r="C25" s="51" t="str">
        <x:v>Болезнь, вызванная вирусом иммунодефицита человека [ВИЧ]</x:v>
      </x:c>
      <x:c r="D25" s="33" t="str">
        <x:v>B23</x:v>
      </x:c>
      <x:c r="E25" s="39" t="n">
        <x:v>6</x:v>
      </x:c>
      <x:c r="F25" s="45" t="n">
        <x:v>42</x:v>
      </x:c>
      <x:c r="G25" s="45" t="n">
        <x:v>38.5</x:v>
      </x:c>
      <x:c r="H25" s="45" t="n">
        <x:v>46.25</x:v>
      </x:c>
      <x:c r="I25" s="45" t="n">
        <x:v>43.833333333333336</x:v>
      </x:c>
      <x:c r="J25" s="45" t="n">
        <x:v>31</x:v>
      </x:c>
      <x:c r="K25" s="45" t="n">
        <x:v>63</x:v>
      </x:c>
      <x:c r="L25" s="51" t="str">
        <x:v>Болезнь, вызванная ВИЧ, с проявлениями (персистентной) генерализованной лимфаденопатии</x:v>
      </x:c>
      <x:c r="M25" s="45" t="n">
        <x:v>7.75</x:v>
      </x:c>
      <x:c r="N25" s="33" t="str">
        <x:v>False</x:v>
      </x:c>
      <x:c r="O25" s="45" t="n">
        <x:v>1</x:v>
      </x:c>
    </x:row>
    <x:row r="26">
      <x:c r="A26" s="33" t="str">
        <x:v>I</x:v>
      </x:c>
      <x:c r="B26" s="33" t="str">
        <x:v>B20-B24</x:v>
      </x:c>
      <x:c r="C26" s="51" t="str">
        <x:v>Болезнь, вызванная вирусом иммунодефицита человека [ВИЧ]</x:v>
      </x:c>
      <x:c r="D26" s="33" t="str">
        <x:v>B24</x:v>
      </x:c>
      <x:c r="E26" s="39" t="n">
        <x:v>3</x:v>
      </x:c>
      <x:c r="F26" s="45" t="n">
        <x:v>34</x:v>
      </x:c>
      <x:c r="G26" s="45" t="n">
        <x:v>33.5</x:v>
      </x:c>
      <x:c r="H26" s="45" t="n">
        <x:v>39</x:v>
      </x:c>
      <x:c r="I26" s="45" t="n">
        <x:v>37</x:v>
      </x:c>
      <x:c r="J26" s="45" t="n">
        <x:v>33</x:v>
      </x:c>
      <x:c r="K26" s="45" t="n">
        <x:v>44</x:v>
      </x:c>
      <x:c r="L26" s="51" t="str">
        <x:v>Болезнь, вызванная вирусом иммунодефицита человека [ВИЧ], неуточненная</x:v>
      </x:c>
      <x:c r="M26" s="45" t="n">
        <x:v>5.5</x:v>
      </x:c>
      <x:c r="N26" s="33" t="str">
        <x:v>True</x:v>
      </x:c>
      <x:c r="O26" s="45" t="n">
        <x:v>1</x:v>
      </x:c>
    </x:row>
    <x:row r="27">
      <x:c r="A27" s="33" t="str">
        <x:v>I</x:v>
      </x:c>
      <x:c r="B27" s="33" t="str">
        <x:v>B25-B34</x:v>
      </x:c>
      <x:c r="C27" s="51" t="str">
        <x:v>Другие вирусные болезни</x:v>
      </x:c>
      <x:c r="D27" s="33" t="str">
        <x:v>B27</x:v>
      </x:c>
      <x:c r="E27" s="39" t="n">
        <x:v>2</x:v>
      </x:c>
      <x:c r="F27" s="45" t="n">
        <x:v>64</x:v>
      </x:c>
      <x:c r="G27" s="45" t="n">
        <x:v>61.5</x:v>
      </x:c>
      <x:c r="H27" s="45" t="n">
        <x:v>66.5</x:v>
      </x:c>
      <x:c r="I27" s="45" t="n">
        <x:v>64</x:v>
      </x:c>
      <x:c r="J27" s="45" t="n">
        <x:v>59</x:v>
      </x:c>
      <x:c r="K27" s="45" t="n">
        <x:v>69</x:v>
      </x:c>
      <x:c r="L27" s="51" t="str">
        <x:v>Гамма-герпесвирусный мононуклеоз</x:v>
      </x:c>
      <x:c r="M27" s="45" t="n">
        <x:v>5</x:v>
      </x:c>
      <x:c r="N27" s="33" t="str">
        <x:v>True</x:v>
      </x:c>
      <x:c r="O27" s="45" t="n">
        <x:v>1</x:v>
      </x:c>
    </x:row>
    <x:row r="28">
      <x:c r="A28" s="33" t="str">
        <x:v>I</x:v>
      </x:c>
      <x:c r="B28" s="33" t="str">
        <x:v>B25-B34</x:v>
      </x:c>
      <x:c r="C28" s="51" t="str">
        <x:v>Другие вирусные болезни</x:v>
      </x:c>
      <x:c r="D28" s="33" t="str">
        <x:v>B34</x:v>
      </x:c>
      <x:c r="E28" s="39" t="n">
        <x:v>3</x:v>
      </x:c>
      <x:c r="F28" s="45" t="n">
        <x:v>25</x:v>
      </x:c>
      <x:c r="G28" s="45" t="n">
        <x:v>12.5</x:v>
      </x:c>
      <x:c r="H28" s="45" t="n">
        <x:v>34.5</x:v>
      </x:c>
      <x:c r="I28" s="45" t="n">
        <x:v>23</x:v>
      </x:c>
      <x:c r="J28" s="45" t="n">
        <x:v>0</x:v>
      </x:c>
      <x:c r="K28" s="45" t="n">
        <x:v>44</x:v>
      </x:c>
      <x:c r="L28" s="51" t="str">
        <x:v>Другие вирусные инфекции</x:v>
      </x:c>
      <x:c r="M28" s="45" t="n">
        <x:v>22</x:v>
      </x:c>
      <x:c r="N28" s="33" t="str">
        <x:v>True</x:v>
      </x:c>
      <x:c r="O28" s="45" t="n">
        <x:v>1</x:v>
      </x:c>
    </x:row>
    <x:row r="29">
      <x:c r="A29" s="33" t="str">
        <x:v>I</x:v>
      </x:c>
      <x:c r="B29" s="33" t="str">
        <x:v>B35-B49</x:v>
      </x:c>
      <x:c r="C29" s="51" t="str">
        <x:v>Микозы</x:v>
      </x:c>
      <x:c r="D29" s="33" t="str">
        <x:v>B44</x:v>
      </x:c>
      <x:c r="E29" s="39" t="n">
        <x:v>2</x:v>
      </x:c>
      <x:c r="F29" s="45" t="n">
        <x:v>64.5</x:v>
      </x:c>
      <x:c r="G29" s="45" t="n">
        <x:v>57.25</x:v>
      </x:c>
      <x:c r="H29" s="45" t="n">
        <x:v>71.75</x:v>
      </x:c>
      <x:c r="I29" s="45" t="n">
        <x:v>64.5</x:v>
      </x:c>
      <x:c r="J29" s="45" t="n">
        <x:v>50</x:v>
      </x:c>
      <x:c r="K29" s="45" t="n">
        <x:v>79</x:v>
      </x:c>
      <x:c r="L29" s="51" t="str">
        <x:v>Инвазивный аспергиллез</x:v>
      </x:c>
      <x:c r="M29" s="45" t="n">
        <x:v>14.5</x:v>
      </x:c>
      <x:c r="N29" s="33" t="str">
        <x:v>True</x:v>
      </x:c>
      <x:c r="O29" s="45" t="n">
        <x:v>1</x:v>
      </x:c>
    </x:row>
    <x:row r="30">
      <x:c r="A30" s="33" t="str">
        <x:v>I</x:v>
      </x:c>
      <x:c r="B30" s="33" t="str">
        <x:v>B65-B83</x:v>
      </x:c>
      <x:c r="C30" s="51" t="str">
        <x:v>Гельминтозы</x:v>
      </x:c>
      <x:c r="D30" s="33" t="str">
        <x:v>B83</x:v>
      </x:c>
      <x:c r="E30" s="39" t="n">
        <x:v>1</x:v>
      </x:c>
      <x:c r="F30" s="45" t="n">
        <x:v>69</x:v>
      </x:c>
      <x:c r="G30" s="45" t="n">
        <x:v>69</x:v>
      </x:c>
      <x:c r="H30" s="45" t="n">
        <x:v>69</x:v>
      </x:c>
      <x:c r="I30" s="45" t="n">
        <x:v>69</x:v>
      </x:c>
      <x:c r="J30" s="45" t="n">
        <x:v>69</x:v>
      </x:c>
      <x:c r="K30" s="45" t="n">
        <x:v>69</x:v>
      </x:c>
      <x:c r="L30" s="51" t="str">
        <x:v>Гельминтоз неуточненный</x:v>
      </x:c>
      <x:c r="M30" s="45" t="n">
        <x:v>0</x:v>
      </x:c>
      <x:c r="N30" s="33" t="str">
        <x:v>True</x:v>
      </x:c>
      <x:c r="O30" s="45" t="n">
        <x:v>1</x:v>
      </x:c>
    </x:row>
    <x:row r="31">
      <x:c r="A31" s="33" t="str">
        <x:v>I</x:v>
      </x:c>
      <x:c r="B31" s="33" t="str">
        <x:v>B90-B94</x:v>
      </x:c>
      <x:c r="C31" s="51" t="str">
        <x:v>Последствия инфестационных и паразитарных болезней</x:v>
      </x:c>
      <x:c r="D31" s="33" t="str">
        <x:v>B90</x:v>
      </x:c>
      <x:c r="E31" s="39" t="n">
        <x:v>1</x:v>
      </x:c>
      <x:c r="F31" s="45" t="n">
        <x:v>54</x:v>
      </x:c>
      <x:c r="G31" s="45" t="n">
        <x:v>54</x:v>
      </x:c>
      <x:c r="H31" s="45" t="n">
        <x:v>54</x:v>
      </x:c>
      <x:c r="I31" s="45" t="n">
        <x:v>54</x:v>
      </x:c>
      <x:c r="J31" s="45" t="n">
        <x:v>54</x:v>
      </x:c>
      <x:c r="K31" s="45" t="n">
        <x:v>54</x:v>
      </x:c>
      <x:c r="L31" s="51" t="str">
        <x:v>Отдаленные последствия туберкулеза органов дыхания и неуточненного туберкулеза</x:v>
      </x:c>
      <x:c r="M31" s="45" t="n">
        <x:v>0</x:v>
      </x:c>
      <x:c r="N31" s="33" t="str">
        <x:v>True</x:v>
      </x:c>
      <x:c r="O31" s="45" t="n">
        <x:v>1</x:v>
      </x:c>
    </x:row>
    <x:row r="32">
      <x:c r="A32" s="33" t="str">
        <x:v>I</x:v>
      </x:c>
      <x:c r="B32" s="33" t="str">
        <x:v>B90-B94</x:v>
      </x:c>
      <x:c r="C32" s="51" t="str">
        <x:v>Последствия инфестационных и паразитарных болезней</x:v>
      </x:c>
      <x:c r="D32" s="33" t="str">
        <x:v>B91</x:v>
      </x:c>
      <x:c r="E32" s="39" t="n">
        <x:v>1</x:v>
      </x:c>
      <x:c r="F32" s="45" t="n">
        <x:v>31</x:v>
      </x:c>
      <x:c r="G32" s="45" t="n">
        <x:v>31</x:v>
      </x:c>
      <x:c r="H32" s="45" t="n">
        <x:v>31</x:v>
      </x:c>
      <x:c r="I32" s="45" t="n">
        <x:v>31</x:v>
      </x:c>
      <x:c r="J32" s="45" t="n">
        <x:v>31</x:v>
      </x:c>
      <x:c r="K32" s="45" t="n">
        <x:v>31</x:v>
      </x:c>
      <x:c r="L32" s="51" t="str">
        <x:v>Последствия полиомиелита</x:v>
      </x:c>
      <x:c r="M32" s="45" t="n">
        <x:v>0</x:v>
      </x:c>
      <x:c r="N32" s="33" t="str">
        <x:v>True</x:v>
      </x:c>
      <x:c r="O32" s="45" t="n">
        <x:v>1</x:v>
      </x:c>
    </x:row>
    <x:row r="33">
      <x:c r="A33" s="33" t="str">
        <x:v>I</x:v>
      </x:c>
      <x:c r="B33" s="33" t="str">
        <x:v>B90-B94</x:v>
      </x:c>
      <x:c r="C33" s="51" t="str">
        <x:v>Последствия инфестационных и паразитарных болезней</x:v>
      </x:c>
      <x:c r="D33" s="33" t="str">
        <x:v>B94</x:v>
      </x:c>
      <x:c r="E33" s="39" t="n">
        <x:v>1</x:v>
      </x:c>
      <x:c r="F33" s="45" t="n">
        <x:v>68</x:v>
      </x:c>
      <x:c r="G33" s="45" t="n">
        <x:v>68</x:v>
      </x:c>
      <x:c r="H33" s="45" t="n">
        <x:v>68</x:v>
      </x:c>
      <x:c r="I33" s="45" t="n">
        <x:v>68</x:v>
      </x:c>
      <x:c r="J33" s="45" t="n">
        <x:v>68</x:v>
      </x:c>
      <x:c r="K33" s="45" t="n">
        <x:v>68</x:v>
      </x:c>
      <x:c r="L33" s="51" t="str">
        <x:v>Последствия вирусного энцефалита</x:v>
      </x:c>
      <x:c r="M33" s="45" t="n">
        <x:v>0</x:v>
      </x:c>
      <x:c r="N33" s="33" t="str">
        <x:v>True</x:v>
      </x:c>
      <x:c r="O33" s="45" t="n">
        <x:v>1</x:v>
      </x:c>
    </x:row>
    <x:row r="34">
      <x:c r="A34" s="33" t="str">
        <x:v>II</x:v>
      </x:c>
      <x:c r="B34" s="33" t="str">
        <x:v>C00-C14</x:v>
      </x:c>
      <x:c r="C34" s="51" t="str">
        <x:v>Губы, полости рта и глотки</x:v>
      </x:c>
      <x:c r="D34" s="33" t="str">
        <x:v>C00</x:v>
      </x:c>
      <x:c r="E34" s="39" t="n">
        <x:v>10</x:v>
      </x:c>
      <x:c r="F34" s="45" t="n">
        <x:v>65.5</x:v>
      </x:c>
      <x:c r="G34" s="45" t="n">
        <x:v>60.25</x:v>
      </x:c>
      <x:c r="H34" s="45" t="n">
        <x:v>68.5</x:v>
      </x:c>
      <x:c r="I34" s="45" t="n">
        <x:v>64.7</x:v>
      </x:c>
      <x:c r="J34" s="45" t="n">
        <x:v>41</x:v>
      </x:c>
      <x:c r="K34" s="45" t="n">
        <x:v>88</x:v>
      </x:c>
      <x:c r="L34" s="51" t="str">
        <x:v>Злокачественное новообразование губы, выходящее за пределы одной и более вышеуказанных локализаций</x:v>
      </x:c>
      <x:c r="M34" s="45" t="n">
        <x:v>8.25</x:v>
      </x:c>
      <x:c r="N34" s="33" t="str">
        <x:v>False</x:v>
      </x:c>
      <x:c r="O34" s="45" t="n">
        <x:v>2</x:v>
      </x:c>
    </x:row>
    <x:row r="35">
      <x:c r="A35" s="33" t="str">
        <x:v>II</x:v>
      </x:c>
      <x:c r="B35" s="33" t="str">
        <x:v>C00-C14</x:v>
      </x:c>
      <x:c r="C35" s="51" t="str">
        <x:v>Губы, полости рта и глотки</x:v>
      </x:c>
      <x:c r="D35" s="33" t="str">
        <x:v>C01</x:v>
      </x:c>
      <x:c r="E35" s="39" t="n">
        <x:v>22</x:v>
      </x:c>
      <x:c r="F35" s="45" t="n">
        <x:v>65.5</x:v>
      </x:c>
      <x:c r="G35" s="45" t="n">
        <x:v>58.5</x:v>
      </x:c>
      <x:c r="H35" s="45" t="n">
        <x:v>68.75</x:v>
      </x:c>
      <x:c r="I35" s="45" t="n">
        <x:v>64</x:v>
      </x:c>
      <x:c r="J35" s="45" t="n">
        <x:v>41</x:v>
      </x:c>
      <x:c r="K35" s="45" t="n">
        <x:v>77</x:v>
      </x:c>
      <x:c r="L35" s="51" t="str">
        <x:v>Злокачественные новообразования основания языка</x:v>
      </x:c>
      <x:c r="M35" s="45" t="n">
        <x:v>10.25</x:v>
      </x:c>
      <x:c r="N35" s="33" t="str">
        <x:v>False</x:v>
      </x:c>
      <x:c r="O35" s="45" t="n">
        <x:v>2</x:v>
      </x:c>
    </x:row>
    <x:row r="36">
      <x:c r="A36" s="33" t="str">
        <x:v>II</x:v>
      </x:c>
      <x:c r="B36" s="33" t="str">
        <x:v>C00-C14</x:v>
      </x:c>
      <x:c r="C36" s="51" t="str">
        <x:v>Губы, полости рта и глотки</x:v>
      </x:c>
      <x:c r="D36" s="33" t="str">
        <x:v>C02</x:v>
      </x:c>
      <x:c r="E36" s="39" t="n">
        <x:v>62</x:v>
      </x:c>
      <x:c r="F36" s="45" t="n">
        <x:v>61</x:v>
      </x:c>
      <x:c r="G36" s="45" t="n">
        <x:v>53.5</x:v>
      </x:c>
      <x:c r="H36" s="45" t="n">
        <x:v>68</x:v>
      </x:c>
      <x:c r="I36" s="45" t="n">
        <x:v>60.67741935483871</x:v>
      </x:c>
      <x:c r="J36" s="45" t="n">
        <x:v>40</x:v>
      </x:c>
      <x:c r="K36" s="45" t="n">
        <x:v>85</x:v>
      </x:c>
      <x:c r="L36" s="51" t="str">
        <x:v>Злокачественное новообразование языка, выходящее за пределы одной и более вышеуказанных локализаций</x:v>
      </x:c>
      <x:c r="M36" s="45" t="n">
        <x:v>14.5</x:v>
      </x:c>
      <x:c r="N36" s="33" t="str">
        <x:v>False</x:v>
      </x:c>
      <x:c r="O36" s="45" t="n">
        <x:v>2</x:v>
      </x:c>
    </x:row>
    <x:row r="37">
      <x:c r="A37" s="33" t="str">
        <x:v>II</x:v>
      </x:c>
      <x:c r="B37" s="33" t="str">
        <x:v>C00-C14</x:v>
      </x:c>
      <x:c r="C37" s="51" t="str">
        <x:v>Губы, полости рта и глотки</x:v>
      </x:c>
      <x:c r="D37" s="33" t="str">
        <x:v>C03</x:v>
      </x:c>
      <x:c r="E37" s="39" t="n">
        <x:v>16</x:v>
      </x:c>
      <x:c r="F37" s="45" t="n">
        <x:v>63.5</x:v>
      </x:c>
      <x:c r="G37" s="45" t="n">
        <x:v>60.25</x:v>
      </x:c>
      <x:c r="H37" s="45" t="n">
        <x:v>68.25</x:v>
      </x:c>
      <x:c r="I37" s="45" t="n">
        <x:v>64.6875</x:v>
      </x:c>
      <x:c r="J37" s="45" t="n">
        <x:v>46</x:v>
      </x:c>
      <x:c r="K37" s="45" t="n">
        <x:v>88</x:v>
      </x:c>
      <x:c r="L37" s="51" t="str">
        <x:v>Злокачественное новообразование десны нижней челюсти</x:v>
      </x:c>
      <x:c r="M37" s="45" t="n">
        <x:v>8</x:v>
      </x:c>
      <x:c r="N37" s="33" t="str">
        <x:v>False</x:v>
      </x:c>
      <x:c r="O37" s="45" t="n">
        <x:v>2</x:v>
      </x:c>
    </x:row>
    <x:row r="38">
      <x:c r="A38" s="33" t="str">
        <x:v>II</x:v>
      </x:c>
      <x:c r="B38" s="33" t="str">
        <x:v>C00-C14</x:v>
      </x:c>
      <x:c r="C38" s="51" t="str">
        <x:v>Губы, полости рта и глотки</x:v>
      </x:c>
      <x:c r="D38" s="33" t="str">
        <x:v>C04</x:v>
      </x:c>
      <x:c r="E38" s="39" t="n">
        <x:v>68</x:v>
      </x:c>
      <x:c r="F38" s="45" t="n">
        <x:v>59</x:v>
      </x:c>
      <x:c r="G38" s="45" t="n">
        <x:v>54</x:v>
      </x:c>
      <x:c r="H38" s="45" t="n">
        <x:v>67</x:v>
      </x:c>
      <x:c r="I38" s="45" t="n">
        <x:v>60.9264705882353</x:v>
      </x:c>
      <x:c r="J38" s="45" t="n">
        <x:v>44</x:v>
      </x:c>
      <x:c r="K38" s="45" t="n">
        <x:v>91</x:v>
      </x:c>
      <x:c r="L38" s="51" t="str">
        <x:v>Злокачественное новообразование дна полости рта, выходящее за пределы одной и более вышеуказанных локализаций</x:v>
      </x:c>
      <x:c r="M38" s="45" t="n">
        <x:v>13</x:v>
      </x:c>
      <x:c r="N38" s="33" t="str">
        <x:v>False</x:v>
      </x:c>
      <x:c r="O38" s="45" t="n">
        <x:v>2</x:v>
      </x:c>
    </x:row>
    <x:row r="39">
      <x:c r="A39" s="33" t="str">
        <x:v>II</x:v>
      </x:c>
      <x:c r="B39" s="33" t="str">
        <x:v>C00-C14</x:v>
      </x:c>
      <x:c r="C39" s="51" t="str">
        <x:v>Губы, полости рта и глотки</x:v>
      </x:c>
      <x:c r="D39" s="33" t="str">
        <x:v>C05</x:v>
      </x:c>
      <x:c r="E39" s="39" t="n">
        <x:v>16</x:v>
      </x:c>
      <x:c r="F39" s="45" t="n">
        <x:v>59.5</x:v>
      </x:c>
      <x:c r="G39" s="45" t="n">
        <x:v>55.75</x:v>
      </x:c>
      <x:c r="H39" s="45" t="n">
        <x:v>66.75</x:v>
      </x:c>
      <x:c r="I39" s="45" t="n">
        <x:v>61.3125</x:v>
      </x:c>
      <x:c r="J39" s="45" t="n">
        <x:v>48</x:v>
      </x:c>
      <x:c r="K39" s="45" t="n">
        <x:v>75</x:v>
      </x:c>
      <x:c r="L39" s="51" t="str">
        <x:v>Злокачественное новообразование мягкого неба</x:v>
      </x:c>
      <x:c r="M39" s="45" t="n">
        <x:v>11</x:v>
      </x:c>
      <x:c r="N39" s="33" t="str">
        <x:v>False</x:v>
      </x:c>
      <x:c r="O39" s="45" t="n">
        <x:v>2</x:v>
      </x:c>
    </x:row>
    <x:row r="40">
      <x:c r="A40" s="33" t="str">
        <x:v>II</x:v>
      </x:c>
      <x:c r="B40" s="33" t="str">
        <x:v>C00-C14</x:v>
      </x:c>
      <x:c r="C40" s="51" t="str">
        <x:v>Губы, полости рта и глотки</x:v>
      </x:c>
      <x:c r="D40" s="33" t="str">
        <x:v>C06</x:v>
      </x:c>
      <x:c r="E40" s="39" t="n">
        <x:v>10</x:v>
      </x:c>
      <x:c r="F40" s="45" t="n">
        <x:v>65</x:v>
      </x:c>
      <x:c r="G40" s="45" t="n">
        <x:v>57.75</x:v>
      </x:c>
      <x:c r="H40" s="45" t="n">
        <x:v>68</x:v>
      </x:c>
      <x:c r="I40" s="45" t="n">
        <x:v>62.7</x:v>
      </x:c>
      <x:c r="J40" s="45" t="n">
        <x:v>45</x:v>
      </x:c>
      <x:c r="K40" s="45" t="n">
        <x:v>78</x:v>
      </x:c>
      <x:c r="L40" s="51" t="str">
        <x:v>Злокачественное новообразование слизистой оболочки щеки</x:v>
      </x:c>
      <x:c r="M40" s="45" t="n">
        <x:v>10.25</x:v>
      </x:c>
      <x:c r="N40" s="33" t="str">
        <x:v>False</x:v>
      </x:c>
      <x:c r="O40" s="45" t="n">
        <x:v>2</x:v>
      </x:c>
    </x:row>
    <x:row r="41">
      <x:c r="A41" s="33" t="str">
        <x:v>II</x:v>
      </x:c>
      <x:c r="B41" s="33" t="str">
        <x:v>C00-C14</x:v>
      </x:c>
      <x:c r="C41" s="51" t="str">
        <x:v>Губы, полости рта и глотки</x:v>
      </x:c>
      <x:c r="D41" s="33" t="str">
        <x:v>C07</x:v>
      </x:c>
      <x:c r="E41" s="39" t="n">
        <x:v>17</x:v>
      </x:c>
      <x:c r="F41" s="45" t="n">
        <x:v>66</x:v>
      </x:c>
      <x:c r="G41" s="45" t="n">
        <x:v>58</x:v>
      </x:c>
      <x:c r="H41" s="45" t="n">
        <x:v>73</x:v>
      </x:c>
      <x:c r="I41" s="45" t="n">
        <x:v>66.05882352941177</x:v>
      </x:c>
      <x:c r="J41" s="45" t="n">
        <x:v>35</x:v>
      </x:c>
      <x:c r="K41" s="45" t="n">
        <x:v>89</x:v>
      </x:c>
      <x:c r="L41" s="51" t="str">
        <x:v>Злокачественное новообразование околоушной слюнной железы</x:v>
      </x:c>
      <x:c r="M41" s="45" t="n">
        <x:v>15</x:v>
      </x:c>
      <x:c r="N41" s="33" t="str">
        <x:v>False</x:v>
      </x:c>
      <x:c r="O41" s="45" t="n">
        <x:v>2</x:v>
      </x:c>
    </x:row>
    <x:row r="42">
      <x:c r="A42" s="33" t="str">
        <x:v>II</x:v>
      </x:c>
      <x:c r="B42" s="33" t="str">
        <x:v>C00-C14</x:v>
      </x:c>
      <x:c r="C42" s="51" t="str">
        <x:v>Губы, полости рта и глотки</x:v>
      </x:c>
      <x:c r="D42" s="33" t="str">
        <x:v>C08</x:v>
      </x:c>
      <x:c r="E42" s="39" t="n">
        <x:v>13</x:v>
      </x:c>
      <x:c r="F42" s="45" t="n">
        <x:v>68</x:v>
      </x:c>
      <x:c r="G42" s="45" t="n">
        <x:v>66</x:v>
      </x:c>
      <x:c r="H42" s="45" t="n">
        <x:v>73</x:v>
      </x:c>
      <x:c r="I42" s="45" t="n">
        <x:v>67.61538461538461</x:v>
      </x:c>
      <x:c r="J42" s="45" t="n">
        <x:v>46</x:v>
      </x:c>
      <x:c r="K42" s="45" t="n">
        <x:v>86</x:v>
      </x:c>
      <x:c r="L42" s="51" t="str">
        <x:v>Злокачественное новообразование больших слюнных желез, выходящее за пределы одной и более вышеуказанных локализаций</x:v>
      </x:c>
      <x:c r="M42" s="45" t="n">
        <x:v>7</x:v>
      </x:c>
      <x:c r="N42" s="33" t="str">
        <x:v>False</x:v>
      </x:c>
      <x:c r="O42" s="45" t="n">
        <x:v>2</x:v>
      </x:c>
    </x:row>
    <x:row r="43">
      <x:c r="A43" s="33" t="str">
        <x:v>II</x:v>
      </x:c>
      <x:c r="B43" s="33" t="str">
        <x:v>C00-C14</x:v>
      </x:c>
      <x:c r="C43" s="51" t="str">
        <x:v>Губы, полости рта и глотки</x:v>
      </x:c>
      <x:c r="D43" s="33" t="str">
        <x:v>C09</x:v>
      </x:c>
      <x:c r="E43" s="39" t="n">
        <x:v>11</x:v>
      </x:c>
      <x:c r="F43" s="45" t="n">
        <x:v>65</x:v>
      </x:c>
      <x:c r="G43" s="45" t="n">
        <x:v>52</x:v>
      </x:c>
      <x:c r="H43" s="45" t="n">
        <x:v>70</x:v>
      </x:c>
      <x:c r="I43" s="45" t="n">
        <x:v>61.63636363636363</x:v>
      </x:c>
      <x:c r="J43" s="45" t="n">
        <x:v>43</x:v>
      </x:c>
      <x:c r="K43" s="45" t="n">
        <x:v>77</x:v>
      </x:c>
      <x:c r="L43" s="51" t="str">
        <x:v>Злокачественное новообразование миндалины, выходящее за пределы одной и более вышеуказанных локализаций</x:v>
      </x:c>
      <x:c r="M43" s="45" t="n">
        <x:v>18</x:v>
      </x:c>
      <x:c r="N43" s="33" t="str">
        <x:v>False</x:v>
      </x:c>
      <x:c r="O43" s="45" t="n">
        <x:v>2</x:v>
      </x:c>
    </x:row>
    <x:row r="44">
      <x:c r="A44" s="33" t="str">
        <x:v>II</x:v>
      </x:c>
      <x:c r="B44" s="33" t="str">
        <x:v>C00-C14</x:v>
      </x:c>
      <x:c r="C44" s="51" t="str">
        <x:v>Губы, полости рта и глотки</x:v>
      </x:c>
      <x:c r="D44" s="33" t="str">
        <x:v>C10</x:v>
      </x:c>
      <x:c r="E44" s="39" t="n">
        <x:v>106</x:v>
      </x:c>
      <x:c r="F44" s="45" t="n">
        <x:v>63</x:v>
      </x:c>
      <x:c r="G44" s="45" t="n">
        <x:v>58</x:v>
      </x:c>
      <x:c r="H44" s="45" t="n">
        <x:v>68</x:v>
      </x:c>
      <x:c r="I44" s="45" t="n">
        <x:v>62.405660377358494</x:v>
      </x:c>
      <x:c r="J44" s="45" t="n">
        <x:v>38</x:v>
      </x:c>
      <x:c r="K44" s="45" t="n">
        <x:v>100</x:v>
      </x:c>
      <x:c r="L44" s="51" t="str">
        <x:v>Злокачественное новообразование ротоглотки, выходящее за пределы одной и более вышеуказанных локализаций</x:v>
      </x:c>
      <x:c r="M44" s="45" t="n">
        <x:v>10</x:v>
      </x:c>
      <x:c r="N44" s="33" t="str">
        <x:v>False</x:v>
      </x:c>
      <x:c r="O44" s="45" t="n">
        <x:v>2</x:v>
      </x:c>
    </x:row>
    <x:row r="45">
      <x:c r="A45" s="33" t="str">
        <x:v>II</x:v>
      </x:c>
      <x:c r="B45" s="33" t="str">
        <x:v>C00-C14</x:v>
      </x:c>
      <x:c r="C45" s="51" t="str">
        <x:v>Губы, полости рта и глотки</x:v>
      </x:c>
      <x:c r="D45" s="33" t="str">
        <x:v>C11</x:v>
      </x:c>
      <x:c r="E45" s="39" t="n">
        <x:v>7</x:v>
      </x:c>
      <x:c r="F45" s="45" t="n">
        <x:v>50</x:v>
      </x:c>
      <x:c r="G45" s="45" t="n">
        <x:v>49.5</x:v>
      </x:c>
      <x:c r="H45" s="45" t="n">
        <x:v>52</x:v>
      </x:c>
      <x:c r="I45" s="45" t="n">
        <x:v>50.142857142857146</x:v>
      </x:c>
      <x:c r="J45" s="45" t="n">
        <x:v>40</x:v>
      </x:c>
      <x:c r="K45" s="45" t="n">
        <x:v>58</x:v>
      </x:c>
      <x:c r="L45" s="51" t="str">
        <x:v>Злокачественное новообразование носоглотки, выходящее за пределы одной и более вышеуказанных локализаций</x:v>
      </x:c>
      <x:c r="M45" s="45" t="n">
        <x:v>2.5</x:v>
      </x:c>
      <x:c r="N45" s="33" t="str">
        <x:v>False</x:v>
      </x:c>
      <x:c r="O45" s="45" t="n">
        <x:v>2</x:v>
      </x:c>
    </x:row>
    <x:row r="46">
      <x:c r="A46" s="33" t="str">
        <x:v>II</x:v>
      </x:c>
      <x:c r="B46" s="33" t="str">
        <x:v>C00-C14</x:v>
      </x:c>
      <x:c r="C46" s="51" t="str">
        <x:v>Губы, полости рта и глотки</x:v>
      </x:c>
      <x:c r="D46" s="33" t="str">
        <x:v>C12</x:v>
      </x:c>
      <x:c r="E46" s="39" t="n">
        <x:v>4</x:v>
      </x:c>
      <x:c r="F46" s="45" t="n">
        <x:v>70.5</x:v>
      </x:c>
      <x:c r="G46" s="45" t="n">
        <x:v>59.25</x:v>
      </x:c>
      <x:c r="H46" s="45" t="n">
        <x:v>76.25</x:v>
      </x:c>
      <x:c r="I46" s="45" t="n">
        <x:v>65</x:v>
      </x:c>
      <x:c r="J46" s="45" t="n">
        <x:v>42</x:v>
      </x:c>
      <x:c r="K46" s="45" t="n">
        <x:v>77</x:v>
      </x:c>
      <x:c r="L46" s="51" t="str">
        <x:v>Злокачественное новообразование грушевидного синуса</x:v>
      </x:c>
      <x:c r="M46" s="45" t="n">
        <x:v>17</x:v>
      </x:c>
      <x:c r="N46" s="33" t="str">
        <x:v>True</x:v>
      </x:c>
      <x:c r="O46" s="45" t="n">
        <x:v>2</x:v>
      </x:c>
    </x:row>
    <x:row r="47">
      <x:c r="A47" s="33" t="str">
        <x:v>II</x:v>
      </x:c>
      <x:c r="B47" s="33" t="str">
        <x:v>C00-C14</x:v>
      </x:c>
      <x:c r="C47" s="51" t="str">
        <x:v>Губы, полости рта и глотки</x:v>
      </x:c>
      <x:c r="D47" s="33" t="str">
        <x:v>C13</x:v>
      </x:c>
      <x:c r="E47" s="39" t="n">
        <x:v>73</x:v>
      </x:c>
      <x:c r="F47" s="45" t="n">
        <x:v>62</x:v>
      </x:c>
      <x:c r="G47" s="45" t="n">
        <x:v>55</x:v>
      </x:c>
      <x:c r="H47" s="45" t="n">
        <x:v>68</x:v>
      </x:c>
      <x:c r="I47" s="45" t="n">
        <x:v>61.21917808219178</x:v>
      </x:c>
      <x:c r="J47" s="45" t="n">
        <x:v>40</x:v>
      </x:c>
      <x:c r="K47" s="45" t="n">
        <x:v>77</x:v>
      </x:c>
      <x:c r="L47" s="51" t="str">
        <x:v>Злокачественное новообразование нижней части глотки, выходящее за пределы одной и более вышеуказанных локализаций</x:v>
      </x:c>
      <x:c r="M47" s="45" t="n">
        <x:v>13</x:v>
      </x:c>
      <x:c r="N47" s="33" t="str">
        <x:v>False</x:v>
      </x:c>
      <x:c r="O47" s="45" t="n">
        <x:v>2</x:v>
      </x:c>
    </x:row>
    <x:row r="48">
      <x:c r="A48" s="33" t="str">
        <x:v>II</x:v>
      </x:c>
      <x:c r="B48" s="33" t="str">
        <x:v>C00-C14</x:v>
      </x:c>
      <x:c r="C48" s="51" t="str">
        <x:v>Губы, полости рта и глотки</x:v>
      </x:c>
      <x:c r="D48" s="33" t="str">
        <x:v>C14</x:v>
      </x:c>
      <x:c r="E48" s="39" t="n">
        <x:v>17</x:v>
      </x:c>
      <x:c r="F48" s="45" t="n">
        <x:v>54</x:v>
      </x:c>
      <x:c r="G48" s="45" t="n">
        <x:v>49</x:v>
      </x:c>
      <x:c r="H48" s="45" t="n">
        <x:v>68</x:v>
      </x:c>
      <x:c r="I48" s="45" t="n">
        <x:v>58.23529411764706</x:v>
      </x:c>
      <x:c r="J48" s="45" t="n">
        <x:v>46</x:v>
      </x:c>
      <x:c r="K48" s="45" t="n">
        <x:v>75</x:v>
      </x:c>
      <x:c r="L48" s="51" t="str">
        <x:v>Злокачественное новообразование губы, полости рта и глотки, выходящее за пределы одной и более вышеуказанных локализаций</x:v>
      </x:c>
      <x:c r="M48" s="45" t="n">
        <x:v>19</x:v>
      </x:c>
      <x:c r="N48" s="33" t="str">
        <x:v>False</x:v>
      </x:c>
      <x:c r="O48" s="45" t="n">
        <x:v>2</x:v>
      </x:c>
    </x:row>
    <x:row r="49">
      <x:c r="A49" s="33" t="str">
        <x:v>II</x:v>
      </x:c>
      <x:c r="B49" s="33" t="str">
        <x:v>C15-C26</x:v>
      </x:c>
      <x:c r="C49" s="51" t="str">
        <x:v>Органов пищеварения</x:v>
      </x:c>
      <x:c r="D49" s="33" t="str">
        <x:v>C15</x:v>
      </x:c>
      <x:c r="E49" s="39" t="n">
        <x:v>374</x:v>
      </x:c>
      <x:c r="F49" s="45" t="n">
        <x:v>65</x:v>
      </x:c>
      <x:c r="G49" s="45" t="n">
        <x:v>58</x:v>
      </x:c>
      <x:c r="H49" s="45" t="n">
        <x:v>71</x:v>
      </x:c>
      <x:c r="I49" s="45" t="n">
        <x:v>64.70855614973262</x:v>
      </x:c>
      <x:c r="J49" s="45" t="n">
        <x:v>31</x:v>
      </x:c>
      <x:c r="K49" s="45" t="n">
        <x:v>90</x:v>
      </x:c>
      <x:c r="L49" s="51" t="str">
        <x:v>Злокачественное новообразование пищевода, выходящее за пределы одной и более вышеуказанных локализаций</x:v>
      </x:c>
      <x:c r="M49" s="45" t="n">
        <x:v>13</x:v>
      </x:c>
      <x:c r="N49" s="33" t="str">
        <x:v>False</x:v>
      </x:c>
      <x:c r="O49" s="45" t="n">
        <x:v>2</x:v>
      </x:c>
    </x:row>
    <x:row r="50">
      <x:c r="A50" s="33" t="str">
        <x:v>II</x:v>
      </x:c>
      <x:c r="B50" s="33" t="str">
        <x:v>C15-C26</x:v>
      </x:c>
      <x:c r="C50" s="51" t="str">
        <x:v>Органов пищеварения</x:v>
      </x:c>
      <x:c r="D50" s="33" t="str">
        <x:v>C16</x:v>
      </x:c>
      <x:c r="E50" s="39" t="n">
        <x:v>1083</x:v>
      </x:c>
      <x:c r="F50" s="45" t="n">
        <x:v>68</x:v>
      </x:c>
      <x:c r="G50" s="45" t="n">
        <x:v>61</x:v>
      </x:c>
      <x:c r="H50" s="45" t="n">
        <x:v>75</x:v>
      </x:c>
      <x:c r="I50" s="45" t="n">
        <x:v>67.61034164358264</x:v>
      </x:c>
      <x:c r="J50" s="45" t="n">
        <x:v>30</x:v>
      </x:c>
      <x:c r="K50" s="45" t="n">
        <x:v>98</x:v>
      </x:c>
      <x:c r="L50" s="51" t="str">
        <x:v>Злокачественное новообразование желудка, выходящее за пределы одной и более вышеуказанных локализаций</x:v>
      </x:c>
      <x:c r="M50" s="45" t="n">
        <x:v>14</x:v>
      </x:c>
      <x:c r="N50" s="33" t="str">
        <x:v>False</x:v>
      </x:c>
      <x:c r="O50" s="45" t="n">
        <x:v>2</x:v>
      </x:c>
    </x:row>
    <x:row r="51">
      <x:c r="A51" s="33" t="str">
        <x:v>II</x:v>
      </x:c>
      <x:c r="B51" s="33" t="str">
        <x:v>C15-C26</x:v>
      </x:c>
      <x:c r="C51" s="51" t="str">
        <x:v>Органов пищеварения</x:v>
      </x:c>
      <x:c r="D51" s="33" t="str">
        <x:v>C17</x:v>
      </x:c>
      <x:c r="E51" s="39" t="n">
        <x:v>44</x:v>
      </x:c>
      <x:c r="F51" s="45" t="n">
        <x:v>70</x:v>
      </x:c>
      <x:c r="G51" s="45" t="n">
        <x:v>62</x:v>
      </x:c>
      <x:c r="H51" s="45" t="n">
        <x:v>73.25</x:v>
      </x:c>
      <x:c r="I51" s="45" t="n">
        <x:v>68.13636363636364</x:v>
      </x:c>
      <x:c r="J51" s="45" t="n">
        <x:v>33</x:v>
      </x:c>
      <x:c r="K51" s="45" t="n">
        <x:v>89</x:v>
      </x:c>
      <x:c r="L51" s="51" t="str">
        <x:v>Злокачественное новообразование двенадцатиперстной кишки</x:v>
      </x:c>
      <x:c r="M51" s="45" t="n">
        <x:v>11.25</x:v>
      </x:c>
      <x:c r="N51" s="33" t="str">
        <x:v>False</x:v>
      </x:c>
      <x:c r="O51" s="45" t="n">
        <x:v>2</x:v>
      </x:c>
    </x:row>
    <x:row r="52">
      <x:c r="A52" s="33" t="str">
        <x:v>II</x:v>
      </x:c>
      <x:c r="B52" s="33" t="str">
        <x:v>C15-C26</x:v>
      </x:c>
      <x:c r="C52" s="51" t="str">
        <x:v>Органов пищеварения</x:v>
      </x:c>
      <x:c r="D52" s="33" t="str">
        <x:v>C18</x:v>
      </x:c>
      <x:c r="E52" s="39" t="n">
        <x:v>816</x:v>
      </x:c>
      <x:c r="F52" s="45" t="n">
        <x:v>71</x:v>
      </x:c>
      <x:c r="G52" s="45" t="n">
        <x:v>64</x:v>
      </x:c>
      <x:c r="H52" s="45" t="n">
        <x:v>78</x:v>
      </x:c>
      <x:c r="I52" s="45" t="n">
        <x:v>70.34191176470588</x:v>
      </x:c>
      <x:c r="J52" s="45" t="n">
        <x:v>28</x:v>
      </x:c>
      <x:c r="K52" s="45" t="n">
        <x:v>92</x:v>
      </x:c>
      <x:c r="L52" s="51" t="str">
        <x:v>Злокачественное новообразование сигмовидной кишки</x:v>
      </x:c>
      <x:c r="M52" s="45" t="n">
        <x:v>14</x:v>
      </x:c>
      <x:c r="N52" s="33" t="str">
        <x:v>False</x:v>
      </x:c>
      <x:c r="O52" s="45" t="n">
        <x:v>2</x:v>
      </x:c>
    </x:row>
    <x:row r="53">
      <x:c r="A53" s="33" t="str">
        <x:v>II</x:v>
      </x:c>
      <x:c r="B53" s="33" t="str">
        <x:v>C15-C26</x:v>
      </x:c>
      <x:c r="C53" s="51" t="str">
        <x:v>Органов пищеварения</x:v>
      </x:c>
      <x:c r="D53" s="33" t="str">
        <x:v>C19</x:v>
      </x:c>
      <x:c r="E53" s="39" t="n">
        <x:v>120</x:v>
      </x:c>
      <x:c r="F53" s="45" t="n">
        <x:v>69</x:v>
      </x:c>
      <x:c r="G53" s="45" t="n">
        <x:v>65</x:v>
      </x:c>
      <x:c r="H53" s="45" t="n">
        <x:v>77</x:v>
      </x:c>
      <x:c r="I53" s="45" t="n">
        <x:v>70.15</x:v>
      </x:c>
      <x:c r="J53" s="45" t="n">
        <x:v>37</x:v>
      </x:c>
      <x:c r="K53" s="45" t="n">
        <x:v>97</x:v>
      </x:c>
      <x:c r="L53" s="51" t="str">
        <x:v>Злокачественное новообразование ректосигмоидного соединения</x:v>
      </x:c>
      <x:c r="M53" s="45" t="n">
        <x:v>12</x:v>
      </x:c>
      <x:c r="N53" s="33" t="str">
        <x:v>False</x:v>
      </x:c>
      <x:c r="O53" s="45" t="n">
        <x:v>2</x:v>
      </x:c>
    </x:row>
    <x:row r="54">
      <x:c r="A54" s="33" t="str">
        <x:v>II</x:v>
      </x:c>
      <x:c r="B54" s="33" t="str">
        <x:v>C15-C26</x:v>
      </x:c>
      <x:c r="C54" s="51" t="str">
        <x:v>Органов пищеварения</x:v>
      </x:c>
      <x:c r="D54" s="33" t="str">
        <x:v>C20</x:v>
      </x:c>
      <x:c r="E54" s="39" t="n">
        <x:v>327</x:v>
      </x:c>
      <x:c r="F54" s="45" t="n">
        <x:v>69</x:v>
      </x:c>
      <x:c r="G54" s="45" t="n">
        <x:v>62</x:v>
      </x:c>
      <x:c r="H54" s="45" t="n">
        <x:v>76</x:v>
      </x:c>
      <x:c r="I54" s="45" t="n">
        <x:v>68.29969418960245</x:v>
      </x:c>
      <x:c r="J54" s="45" t="n">
        <x:v>29</x:v>
      </x:c>
      <x:c r="K54" s="45" t="n">
        <x:v>94</x:v>
      </x:c>
      <x:c r="L54" s="51" t="str">
        <x:v>Злокачественное новообразование прямой кишки</x:v>
      </x:c>
      <x:c r="M54" s="45" t="n">
        <x:v>14</x:v>
      </x:c>
      <x:c r="N54" s="33" t="str">
        <x:v>False</x:v>
      </x:c>
      <x:c r="O54" s="45" t="n">
        <x:v>2</x:v>
      </x:c>
    </x:row>
    <x:row r="55">
      <x:c r="A55" s="33" t="str">
        <x:v>II</x:v>
      </x:c>
      <x:c r="B55" s="33" t="str">
        <x:v>C15-C26</x:v>
      </x:c>
      <x:c r="C55" s="51" t="str">
        <x:v>Органов пищеварения</x:v>
      </x:c>
      <x:c r="D55" s="33" t="str">
        <x:v>C21</x:v>
      </x:c>
      <x:c r="E55" s="39" t="n">
        <x:v>52</x:v>
      </x:c>
      <x:c r="F55" s="45" t="n">
        <x:v>65.5</x:v>
      </x:c>
      <x:c r="G55" s="45" t="n">
        <x:v>55.75</x:v>
      </x:c>
      <x:c r="H55" s="45" t="n">
        <x:v>73</x:v>
      </x:c>
      <x:c r="I55" s="45" t="n">
        <x:v>64.40384615384616</x:v>
      </x:c>
      <x:c r="J55" s="45" t="n">
        <x:v>27</x:v>
      </x:c>
      <x:c r="K55" s="45" t="n">
        <x:v>89</x:v>
      </x:c>
      <x:c r="L55" s="51" t="str">
        <x:v>Злокачественное новообразование прямой кишки, заднего прохода [ануса] и анального канала, выходящее за пределы вышеуказанных локализаций</x:v>
      </x:c>
      <x:c r="M55" s="45" t="n">
        <x:v>17.25</x:v>
      </x:c>
      <x:c r="N55" s="33" t="str">
        <x:v>False</x:v>
      </x:c>
      <x:c r="O55" s="45" t="n">
        <x:v>2</x:v>
      </x:c>
    </x:row>
    <x:row r="56">
      <x:c r="A56" s="33" t="str">
        <x:v>II</x:v>
      </x:c>
      <x:c r="B56" s="33" t="str">
        <x:v>C15-C26</x:v>
      </x:c>
      <x:c r="C56" s="51" t="str">
        <x:v>Органов пищеварения</x:v>
      </x:c>
      <x:c r="D56" s="33" t="str">
        <x:v>C22</x:v>
      </x:c>
      <x:c r="E56" s="39" t="n">
        <x:v>552</x:v>
      </x:c>
      <x:c r="F56" s="45" t="n">
        <x:v>66</x:v>
      </x:c>
      <x:c r="G56" s="45" t="n">
        <x:v>57</x:v>
      </x:c>
      <x:c r="H56" s="45" t="n">
        <x:v>73</x:v>
      </x:c>
      <x:c r="I56" s="45" t="n">
        <x:v>65.35326086956522</x:v>
      </x:c>
      <x:c r="J56" s="45" t="n">
        <x:v>33</x:v>
      </x:c>
      <x:c r="K56" s="45" t="n">
        <x:v>95</x:v>
      </x:c>
      <x:c r="L56" s="51" t="str">
        <x:v>Печеночноклеточный рак</x:v>
      </x:c>
      <x:c r="M56" s="45" t="n">
        <x:v>16</x:v>
      </x:c>
      <x:c r="N56" s="33" t="str">
        <x:v>False</x:v>
      </x:c>
      <x:c r="O56" s="45" t="n">
        <x:v>2</x:v>
      </x:c>
    </x:row>
    <x:row r="57">
      <x:c r="A57" s="33" t="str">
        <x:v>II</x:v>
      </x:c>
      <x:c r="B57" s="33" t="str">
        <x:v>C15-C26</x:v>
      </x:c>
      <x:c r="C57" s="51" t="str">
        <x:v>Органов пищеварения</x:v>
      </x:c>
      <x:c r="D57" s="33" t="str">
        <x:v>C23</x:v>
      </x:c>
      <x:c r="E57" s="39" t="n">
        <x:v>29</x:v>
      </x:c>
      <x:c r="F57" s="45" t="n">
        <x:v>71</x:v>
      </x:c>
      <x:c r="G57" s="45" t="n">
        <x:v>64</x:v>
      </x:c>
      <x:c r="H57" s="45" t="n">
        <x:v>80</x:v>
      </x:c>
      <x:c r="I57" s="45" t="n">
        <x:v>71.24137931034483</x:v>
      </x:c>
      <x:c r="J57" s="45" t="n">
        <x:v>43</x:v>
      </x:c>
      <x:c r="K57" s="45" t="n">
        <x:v>91</x:v>
      </x:c>
      <x:c r="L57" s="51" t="str">
        <x:v>Злокачественное новообразование желчного пузыря</x:v>
      </x:c>
      <x:c r="M57" s="45" t="n">
        <x:v>16</x:v>
      </x:c>
      <x:c r="N57" s="33" t="str">
        <x:v>False</x:v>
      </x:c>
      <x:c r="O57" s="45" t="n">
        <x:v>2</x:v>
      </x:c>
    </x:row>
    <x:row r="58">
      <x:c r="A58" s="33" t="str">
        <x:v>II</x:v>
      </x:c>
      <x:c r="B58" s="33" t="str">
        <x:v>C15-C26</x:v>
      </x:c>
      <x:c r="C58" s="51" t="str">
        <x:v>Органов пищеварения</x:v>
      </x:c>
      <x:c r="D58" s="33" t="str">
        <x:v>C24</x:v>
      </x:c>
      <x:c r="E58" s="39" t="n">
        <x:v>73</x:v>
      </x:c>
      <x:c r="F58" s="45" t="n">
        <x:v>67</x:v>
      </x:c>
      <x:c r="G58" s="45" t="n">
        <x:v>60</x:v>
      </x:c>
      <x:c r="H58" s="45" t="n">
        <x:v>74</x:v>
      </x:c>
      <x:c r="I58" s="45" t="n">
        <x:v>66.05479452054794</x:v>
      </x:c>
      <x:c r="J58" s="45" t="n">
        <x:v>35</x:v>
      </x:c>
      <x:c r="K58" s="45" t="n">
        <x:v>86</x:v>
      </x:c>
      <x:c r="L58" s="51" t="str">
        <x:v>Злокачественное новообразование внепеченочного желчного протока</x:v>
      </x:c>
      <x:c r="M58" s="45" t="n">
        <x:v>14</x:v>
      </x:c>
      <x:c r="N58" s="33" t="str">
        <x:v>False</x:v>
      </x:c>
      <x:c r="O58" s="45" t="n">
        <x:v>2</x:v>
      </x:c>
    </x:row>
    <x:row r="59">
      <x:c r="A59" s="33" t="str">
        <x:v>II</x:v>
      </x:c>
      <x:c r="B59" s="33" t="str">
        <x:v>C15-C26</x:v>
      </x:c>
      <x:c r="C59" s="51" t="str">
        <x:v>Органов пищеварения</x:v>
      </x:c>
      <x:c r="D59" s="33" t="str">
        <x:v>C25</x:v>
      </x:c>
      <x:c r="E59" s="39" t="n">
        <x:v>775</x:v>
      </x:c>
      <x:c r="F59" s="45" t="n">
        <x:v>67</x:v>
      </x:c>
      <x:c r="G59" s="45" t="n">
        <x:v>61</x:v>
      </x:c>
      <x:c r="H59" s="45" t="n">
        <x:v>74</x:v>
      </x:c>
      <x:c r="I59" s="45" t="n">
        <x:v>67.07354838709678</x:v>
      </x:c>
      <x:c r="J59" s="45" t="n">
        <x:v>36</x:v>
      </x:c>
      <x:c r="K59" s="45" t="n">
        <x:v>96</x:v>
      </x:c>
      <x:c r="L59" s="51" t="str">
        <x:v>Злокачественное новообразование головки поджелудочной железы</x:v>
      </x:c>
      <x:c r="M59" s="45" t="n">
        <x:v>13</x:v>
      </x:c>
      <x:c r="N59" s="33" t="str">
        <x:v>False</x:v>
      </x:c>
      <x:c r="O59" s="45" t="n">
        <x:v>2</x:v>
      </x:c>
    </x:row>
    <x:row r="60">
      <x:c r="A60" s="33" t="str">
        <x:v>II</x:v>
      </x:c>
      <x:c r="B60" s="33" t="str">
        <x:v>C15-C26</x:v>
      </x:c>
      <x:c r="C60" s="51" t="str">
        <x:v>Органов пищеварения</x:v>
      </x:c>
      <x:c r="D60" s="33" t="str">
        <x:v>C26</x:v>
      </x:c>
      <x:c r="E60" s="39" t="n">
        <x:v>3</x:v>
      </x:c>
      <x:c r="F60" s="45" t="n">
        <x:v>76</x:v>
      </x:c>
      <x:c r="G60" s="45" t="n">
        <x:v>65.5</x:v>
      </x:c>
      <x:c r="H60" s="45" t="n">
        <x:v>77.5</x:v>
      </x:c>
      <x:c r="I60" s="45" t="n">
        <x:v>70</x:v>
      </x:c>
      <x:c r="J60" s="45" t="n">
        <x:v>55</x:v>
      </x:c>
      <x:c r="K60" s="45" t="n">
        <x:v>79</x:v>
      </x:c>
      <x:c r="L60" s="51" t="str">
        <x:v>Злокачественное новообразование других органов пищеварения</x:v>
      </x:c>
      <x:c r="M60" s="45" t="n">
        <x:v>12</x:v>
      </x:c>
      <x:c r="N60" s="33" t="str">
        <x:v>True</x:v>
      </x:c>
      <x:c r="O60" s="45" t="n">
        <x:v>2</x:v>
      </x:c>
    </x:row>
    <x:row r="61">
      <x:c r="A61" s="33" t="str">
        <x:v>II</x:v>
      </x:c>
      <x:c r="B61" s="33" t="str">
        <x:v>C30-C39</x:v>
      </x:c>
      <x:c r="C61" s="51" t="str">
        <x:v>Органов дыхания и грудной клетки</x:v>
      </x:c>
      <x:c r="D61" s="33" t="str">
        <x:v>C30</x:v>
      </x:c>
      <x:c r="E61" s="39" t="n">
        <x:v>6</x:v>
      </x:c>
      <x:c r="F61" s="45" t="n">
        <x:v>66</x:v>
      </x:c>
      <x:c r="G61" s="45" t="n">
        <x:v>53.5</x:v>
      </x:c>
      <x:c r="H61" s="45" t="n">
        <x:v>70.25</x:v>
      </x:c>
      <x:c r="I61" s="45" t="n">
        <x:v>60.833333333333336</x:v>
      </x:c>
      <x:c r="J61" s="45" t="n">
        <x:v>31</x:v>
      </x:c>
      <x:c r="K61" s="45" t="n">
        <x:v>81</x:v>
      </x:c>
      <x:c r="L61" s="51" t="str">
        <x:v>Злокачественное новообразование полости носа</x:v>
      </x:c>
      <x:c r="M61" s="45" t="n">
        <x:v>16.75</x:v>
      </x:c>
      <x:c r="N61" s="33" t="str">
        <x:v>False</x:v>
      </x:c>
      <x:c r="O61" s="45" t="n">
        <x:v>2</x:v>
      </x:c>
    </x:row>
    <x:row r="62">
      <x:c r="A62" s="33" t="str">
        <x:v>II</x:v>
      </x:c>
      <x:c r="B62" s="33" t="str">
        <x:v>C30-C39</x:v>
      </x:c>
      <x:c r="C62" s="51" t="str">
        <x:v>Органов дыхания и грудной клетки</x:v>
      </x:c>
      <x:c r="D62" s="33" t="str">
        <x:v>C31</x:v>
      </x:c>
      <x:c r="E62" s="39" t="n">
        <x:v>13</x:v>
      </x:c>
      <x:c r="F62" s="45" t="n">
        <x:v>55</x:v>
      </x:c>
      <x:c r="G62" s="45" t="n">
        <x:v>47</x:v>
      </x:c>
      <x:c r="H62" s="45" t="n">
        <x:v>65</x:v>
      </x:c>
      <x:c r="I62" s="45" t="n">
        <x:v>57.53846153846154</x:v>
      </x:c>
      <x:c r="J62" s="45" t="n">
        <x:v>41</x:v>
      </x:c>
      <x:c r="K62" s="45" t="n">
        <x:v>80</x:v>
      </x:c>
      <x:c r="L62" s="51" t="str">
        <x:v>Злокачественное новообразование придаточных пазух, выходящее за пределы одной и более вышеуказанных локализаций</x:v>
      </x:c>
      <x:c r="M62" s="45" t="n">
        <x:v>18</x:v>
      </x:c>
      <x:c r="N62" s="33" t="str">
        <x:v>False</x:v>
      </x:c>
      <x:c r="O62" s="45" t="n">
        <x:v>2</x:v>
      </x:c>
    </x:row>
    <x:row r="63">
      <x:c r="A63" s="33" t="str">
        <x:v>II</x:v>
      </x:c>
      <x:c r="B63" s="33" t="str">
        <x:v>C30-C39</x:v>
      </x:c>
      <x:c r="C63" s="51" t="str">
        <x:v>Органов дыхания и грудной клетки</x:v>
      </x:c>
      <x:c r="D63" s="33" t="str">
        <x:v>C32</x:v>
      </x:c>
      <x:c r="E63" s="39" t="n">
        <x:v>200</x:v>
      </x:c>
      <x:c r="F63" s="45" t="n">
        <x:v>64</x:v>
      </x:c>
      <x:c r="G63" s="45" t="n">
        <x:v>57.75</x:v>
      </x:c>
      <x:c r="H63" s="45" t="n">
        <x:v>69</x:v>
      </x:c>
      <x:c r="I63" s="45" t="n">
        <x:v>63.025</x:v>
      </x:c>
      <x:c r="J63" s="45" t="n">
        <x:v>35</x:v>
      </x:c>
      <x:c r="K63" s="45" t="n">
        <x:v>86</x:v>
      </x:c>
      <x:c r="L63" s="51" t="str">
        <x:v>Злокачественное новообразование гортани, выходящее за пределы одной и более вышеуказанных локализаций</x:v>
      </x:c>
      <x:c r="M63" s="45" t="n">
        <x:v>11.25</x:v>
      </x:c>
      <x:c r="N63" s="33" t="str">
        <x:v>False</x:v>
      </x:c>
      <x:c r="O63" s="45" t="n">
        <x:v>2</x:v>
      </x:c>
    </x:row>
    <x:row r="64">
      <x:c r="A64" s="33" t="str">
        <x:v>II</x:v>
      </x:c>
      <x:c r="B64" s="33" t="str">
        <x:v>C30-C39</x:v>
      </x:c>
      <x:c r="C64" s="51" t="str">
        <x:v>Органов дыхания и грудной клетки</x:v>
      </x:c>
      <x:c r="D64" s="33" t="str">
        <x:v>C33</x:v>
      </x:c>
      <x:c r="E64" s="39" t="n">
        <x:v>10</x:v>
      </x:c>
      <x:c r="F64" s="45" t="n">
        <x:v>67.5</x:v>
      </x:c>
      <x:c r="G64" s="45" t="n">
        <x:v>58.5</x:v>
      </x:c>
      <x:c r="H64" s="45" t="n">
        <x:v>77</x:v>
      </x:c>
      <x:c r="I64" s="45" t="n">
        <x:v>65.8</x:v>
      </x:c>
      <x:c r="J64" s="45" t="n">
        <x:v>32</x:v>
      </x:c>
      <x:c r="K64" s="45" t="n">
        <x:v>84</x:v>
      </x:c>
      <x:c r="L64" s="51" t="str">
        <x:v>Злокачественное новообразование трахеи</x:v>
      </x:c>
      <x:c r="M64" s="45" t="n">
        <x:v>18.5</x:v>
      </x:c>
      <x:c r="N64" s="33" t="str">
        <x:v>False</x:v>
      </x:c>
      <x:c r="O64" s="45" t="n">
        <x:v>2</x:v>
      </x:c>
    </x:row>
    <x:row r="65">
      <x:c r="A65" s="33" t="str">
        <x:v>II</x:v>
      </x:c>
      <x:c r="B65" s="33" t="str">
        <x:v>C30-C39</x:v>
      </x:c>
      <x:c r="C65" s="51" t="str">
        <x:v>Органов дыхания и грудной клетки</x:v>
      </x:c>
      <x:c r="D65" s="33" t="str">
        <x:v>C34</x:v>
      </x:c>
      <x:c r="E65" s="39" t="n">
        <x:v>2332</x:v>
      </x:c>
      <x:c r="F65" s="45" t="n">
        <x:v>66</x:v>
      </x:c>
      <x:c r="G65" s="45" t="n">
        <x:v>61</x:v>
      </x:c>
      <x:c r="H65" s="45" t="n">
        <x:v>72</x:v>
      </x:c>
      <x:c r="I65" s="45" t="n">
        <x:v>66.45068610634648</x:v>
      </x:c>
      <x:c r="J65" s="45" t="n">
        <x:v>31</x:v>
      </x:c>
      <x:c r="K65" s="45" t="n">
        <x:v>105</x:v>
      </x:c>
      <x:c r="L65" s="51" t="str">
        <x:v>Злокачественное новообразование бронхов или легкого, выходящее за пределы одной и более вышеуказанных локализаций</x:v>
      </x:c>
      <x:c r="M65" s="45" t="n">
        <x:v>11</x:v>
      </x:c>
      <x:c r="N65" s="33" t="str">
        <x:v>False</x:v>
      </x:c>
      <x:c r="O65" s="45" t="n">
        <x:v>2</x:v>
      </x:c>
    </x:row>
    <x:row r="66">
      <x:c r="A66" s="33" t="str">
        <x:v>II</x:v>
      </x:c>
      <x:c r="B66" s="33" t="str">
        <x:v>C30-C39</x:v>
      </x:c>
      <x:c r="C66" s="51" t="str">
        <x:v>Органов дыхания и грудной клетки</x:v>
      </x:c>
      <x:c r="D66" s="33" t="str">
        <x:v>C37</x:v>
      </x:c>
      <x:c r="E66" s="39" t="n">
        <x:v>2</x:v>
      </x:c>
      <x:c r="F66" s="45" t="n">
        <x:v>62.5</x:v>
      </x:c>
      <x:c r="G66" s="45" t="n">
        <x:v>61.75</x:v>
      </x:c>
      <x:c r="H66" s="45" t="n">
        <x:v>63.25</x:v>
      </x:c>
      <x:c r="I66" s="45" t="n">
        <x:v>62.5</x:v>
      </x:c>
      <x:c r="J66" s="45" t="n">
        <x:v>61</x:v>
      </x:c>
      <x:c r="K66" s="45" t="n">
        <x:v>64</x:v>
      </x:c>
      <x:c r="L66" s="51" t="str">
        <x:v>Злокачественное новообразование тимуса</x:v>
      </x:c>
      <x:c r="M66" s="45" t="n">
        <x:v>1.5</x:v>
      </x:c>
      <x:c r="N66" s="33" t="str">
        <x:v>True</x:v>
      </x:c>
      <x:c r="O66" s="45" t="n">
        <x:v>2</x:v>
      </x:c>
    </x:row>
    <x:row r="67">
      <x:c r="A67" s="33" t="str">
        <x:v>II</x:v>
      </x:c>
      <x:c r="B67" s="33" t="str">
        <x:v>C30-C39</x:v>
      </x:c>
      <x:c r="C67" s="51" t="str">
        <x:v>Органов дыхания и грудной клетки</x:v>
      </x:c>
      <x:c r="D67" s="33" t="str">
        <x:v>C38</x:v>
      </x:c>
      <x:c r="E67" s="39" t="n">
        <x:v>21</x:v>
      </x:c>
      <x:c r="F67" s="45" t="n">
        <x:v>63</x:v>
      </x:c>
      <x:c r="G67" s="45" t="n">
        <x:v>54</x:v>
      </x:c>
      <x:c r="H67" s="45" t="n">
        <x:v>70</x:v>
      </x:c>
      <x:c r="I67" s="45" t="n">
        <x:v>60.666666666666664</x:v>
      </x:c>
      <x:c r="J67" s="45" t="n">
        <x:v>17</x:v>
      </x:c>
      <x:c r="K67" s="45" t="n">
        <x:v>76</x:v>
      </x:c>
      <x:c r="L67" s="51" t="str">
        <x:v>Злокачественное новообразование плевры</x:v>
      </x:c>
      <x:c r="M67" s="45" t="n">
        <x:v>16</x:v>
      </x:c>
      <x:c r="N67" s="33" t="str">
        <x:v>False</x:v>
      </x:c>
      <x:c r="O67" s="45" t="n">
        <x:v>2</x:v>
      </x:c>
    </x:row>
    <x:row r="68">
      <x:c r="A68" s="33" t="str">
        <x:v>II</x:v>
      </x:c>
      <x:c r="B68" s="33" t="str">
        <x:v>C30-C39</x:v>
      </x:c>
      <x:c r="C68" s="51" t="str">
        <x:v>Органов дыхания и грудной клетки</x:v>
      </x:c>
      <x:c r="D68" s="33" t="str">
        <x:v>C39</x:v>
      </x:c>
      <x:c r="E68" s="39" t="n">
        <x:v>1</x:v>
      </x:c>
      <x:c r="F68" s="45" t="n">
        <x:v>59</x:v>
      </x:c>
      <x:c r="G68" s="45" t="n">
        <x:v>59</x:v>
      </x:c>
      <x:c r="H68" s="45" t="n">
        <x:v>59</x:v>
      </x:c>
      <x:c r="I68" s="45" t="n">
        <x:v>59</x:v>
      </x:c>
      <x:c r="J68" s="45" t="n">
        <x:v>59</x:v>
      </x:c>
      <x:c r="K68" s="45" t="n">
        <x:v>59</x:v>
      </x:c>
      <x:c r="L68" s="51" t="str">
        <x:v>Злокачественное новообразование органов дыхания</x:v>
      </x:c>
      <x:c r="M68" s="45" t="n">
        <x:v>0</x:v>
      </x:c>
      <x:c r="N68" s="33" t="str">
        <x:v>True</x:v>
      </x:c>
      <x:c r="O68" s="45" t="n">
        <x:v>2</x:v>
      </x:c>
    </x:row>
    <x:row r="69">
      <x:c r="A69" s="33" t="str">
        <x:v>II</x:v>
      </x:c>
      <x:c r="B69" s="33" t="str">
        <x:v>C40-C41</x:v>
      </x:c>
      <x:c r="C69" s="51" t="str">
        <x:v>Костей и суставных хрящей</x:v>
      </x:c>
      <x:c r="D69" s="33" t="str">
        <x:v>C40</x:v>
      </x:c>
      <x:c r="E69" s="39" t="n">
        <x:v>12</x:v>
      </x:c>
      <x:c r="F69" s="45" t="n">
        <x:v>57</x:v>
      </x:c>
      <x:c r="G69" s="45" t="n">
        <x:v>33.5</x:v>
      </x:c>
      <x:c r="H69" s="45" t="n">
        <x:v>72.75</x:v>
      </x:c>
      <x:c r="I69" s="45" t="n">
        <x:v>53.083333333333336</x:v>
      </x:c>
      <x:c r="J69" s="45" t="n">
        <x:v>20</x:v>
      </x:c>
      <x:c r="K69" s="45" t="n">
        <x:v>80</x:v>
      </x:c>
      <x:c r="L69" s="51" t="str">
        <x:v>Злокачественное новообразование длинных костей нижней конечности</x:v>
      </x:c>
      <x:c r="M69" s="45" t="n">
        <x:v>39.25</x:v>
      </x:c>
      <x:c r="N69" s="33" t="str">
        <x:v>False</x:v>
      </x:c>
      <x:c r="O69" s="45" t="n">
        <x:v>2</x:v>
      </x:c>
    </x:row>
    <x:row r="70">
      <x:c r="A70" s="33" t="str">
        <x:v>II</x:v>
      </x:c>
      <x:c r="B70" s="33" t="str">
        <x:v>C40-C41</x:v>
      </x:c>
      <x:c r="C70" s="51" t="str">
        <x:v>Костей и суставных хрящей</x:v>
      </x:c>
      <x:c r="D70" s="33" t="str">
        <x:v>C41</x:v>
      </x:c>
      <x:c r="E70" s="39" t="n">
        <x:v>20</x:v>
      </x:c>
      <x:c r="F70" s="45" t="n">
        <x:v>63.5</x:v>
      </x:c>
      <x:c r="G70" s="45" t="n">
        <x:v>54.75</x:v>
      </x:c>
      <x:c r="H70" s="45" t="n">
        <x:v>68.25</x:v>
      </x:c>
      <x:c r="I70" s="45" t="n">
        <x:v>61.45</x:v>
      </x:c>
      <x:c r="J70" s="45" t="n">
        <x:v>32</x:v>
      </x:c>
      <x:c r="K70" s="45" t="n">
        <x:v>89</x:v>
      </x:c>
      <x:c r="L70" s="51" t="str">
        <x:v>Злокачественное новообразование костей таза, крестца и копчика</x:v>
      </x:c>
      <x:c r="M70" s="45" t="n">
        <x:v>13.5</x:v>
      </x:c>
      <x:c r="N70" s="33" t="str">
        <x:v>False</x:v>
      </x:c>
      <x:c r="O70" s="45" t="n">
        <x:v>2</x:v>
      </x:c>
    </x:row>
    <x:row r="71">
      <x:c r="A71" s="33" t="str">
        <x:v>II</x:v>
      </x:c>
      <x:c r="B71" s="33" t="str">
        <x:v>C43-C44</x:v>
      </x:c>
      <x:c r="C71" s="51" t="str">
        <x:v>Кожи</x:v>
      </x:c>
      <x:c r="D71" s="33" t="str">
        <x:v>C43</x:v>
      </x:c>
      <x:c r="E71" s="39" t="n">
        <x:v>150</x:v>
      </x:c>
      <x:c r="F71" s="45" t="n">
        <x:v>66.5</x:v>
      </x:c>
      <x:c r="G71" s="45" t="n">
        <x:v>56.5</x:v>
      </x:c>
      <x:c r="H71" s="45" t="n">
        <x:v>74</x:v>
      </x:c>
      <x:c r="I71" s="45" t="n">
        <x:v>65.28666666666666</x:v>
      </x:c>
      <x:c r="J71" s="45" t="n">
        <x:v>28</x:v>
      </x:c>
      <x:c r="K71" s="45" t="n">
        <x:v>96</x:v>
      </x:c>
      <x:c r="L71" s="51" t="str">
        <x:v>Злокачественная меланома туловища</x:v>
      </x:c>
      <x:c r="M71" s="45" t="n">
        <x:v>17.5</x:v>
      </x:c>
      <x:c r="N71" s="33" t="str">
        <x:v>False</x:v>
      </x:c>
      <x:c r="O71" s="45" t="n">
        <x:v>2</x:v>
      </x:c>
    </x:row>
    <x:row r="72">
      <x:c r="A72" s="33" t="str">
        <x:v>II</x:v>
      </x:c>
      <x:c r="B72" s="33" t="str">
        <x:v>C43-C44</x:v>
      </x:c>
      <x:c r="C72" s="51" t="str">
        <x:v>Кожи</x:v>
      </x:c>
      <x:c r="D72" s="33" t="str">
        <x:v>C44</x:v>
      </x:c>
      <x:c r="E72" s="39" t="n">
        <x:v>45</x:v>
      </x:c>
      <x:c r="F72" s="45" t="n">
        <x:v>69</x:v>
      </x:c>
      <x:c r="G72" s="45" t="n">
        <x:v>62</x:v>
      </x:c>
      <x:c r="H72" s="45" t="n">
        <x:v>81</x:v>
      </x:c>
      <x:c r="I72" s="45" t="n">
        <x:v>70.17777777777778</x:v>
      </x:c>
      <x:c r="J72" s="45" t="n">
        <x:v>38</x:v>
      </x:c>
      <x:c r="K72" s="45" t="n">
        <x:v>95</x:v>
      </x:c>
      <x:c r="L72" s="51" t="str">
        <x:v>Другие злокачественные новообразования кожи других и неуточненных частей лица</x:v>
      </x:c>
      <x:c r="M72" s="45" t="n">
        <x:v>19</x:v>
      </x:c>
      <x:c r="N72" s="33" t="str">
        <x:v>False</x:v>
      </x:c>
      <x:c r="O72" s="45" t="n">
        <x:v>2</x:v>
      </x:c>
    </x:row>
    <x:row r="73">
      <x:c r="A73" s="33" t="str">
        <x:v>II</x:v>
      </x:c>
      <x:c r="B73" s="33" t="str">
        <x:v>C45-C49</x:v>
      </x:c>
      <x:c r="C73" s="51" t="str">
        <x:v>Мезотелиальной и мягких тканей</x:v>
      </x:c>
      <x:c r="D73" s="33" t="str">
        <x:v>C45</x:v>
      </x:c>
      <x:c r="E73" s="39" t="n">
        <x:v>52</x:v>
      </x:c>
      <x:c r="F73" s="45" t="n">
        <x:v>71</x:v>
      </x:c>
      <x:c r="G73" s="45" t="n">
        <x:v>64.75</x:v>
      </x:c>
      <x:c r="H73" s="45" t="n">
        <x:v>80</x:v>
      </x:c>
      <x:c r="I73" s="45" t="n">
        <x:v>70.28846153846153</x:v>
      </x:c>
      <x:c r="J73" s="45" t="n">
        <x:v>35</x:v>
      </x:c>
      <x:c r="K73" s="45" t="n">
        <x:v>92</x:v>
      </x:c>
      <x:c r="L73" s="51" t="str">
        <x:v>Мезотелиома плевры</x:v>
      </x:c>
      <x:c r="M73" s="45" t="n">
        <x:v>15.25</x:v>
      </x:c>
      <x:c r="N73" s="33" t="str">
        <x:v>False</x:v>
      </x:c>
      <x:c r="O73" s="45" t="n">
        <x:v>2</x:v>
      </x:c>
    </x:row>
    <x:row r="74">
      <x:c r="A74" s="33" t="str">
        <x:v>II</x:v>
      </x:c>
      <x:c r="B74" s="33" t="str">
        <x:v>C45-C49</x:v>
      </x:c>
      <x:c r="C74" s="51" t="str">
        <x:v>Мезотелиальной и мягких тканей</x:v>
      </x:c>
      <x:c r="D74" s="33" t="str">
        <x:v>C47</x:v>
      </x:c>
      <x:c r="E74" s="39" t="n">
        <x:v>3</x:v>
      </x:c>
      <x:c r="F74" s="45" t="n">
        <x:v>66</x:v>
      </x:c>
      <x:c r="G74" s="45" t="n">
        <x:v>60</x:v>
      </x:c>
      <x:c r="H74" s="45" t="n">
        <x:v>71</x:v>
      </x:c>
      <x:c r="I74" s="45" t="n">
        <x:v>65.33333333333333</x:v>
      </x:c>
      <x:c r="J74" s="45" t="n">
        <x:v>54</x:v>
      </x:c>
      <x:c r="K74" s="45" t="n">
        <x:v>76</x:v>
      </x:c>
      <x:c r="L74" s="51" t="str">
        <x:v>Злокачественное новообразование периферических нервов верхней конечности, включая область плечевого пояса</x:v>
      </x:c>
      <x:c r="M74" s="45" t="n">
        <x:v>11</x:v>
      </x:c>
      <x:c r="N74" s="33" t="str">
        <x:v>True</x:v>
      </x:c>
      <x:c r="O74" s="45" t="n">
        <x:v>2</x:v>
      </x:c>
    </x:row>
    <x:row r="75">
      <x:c r="A75" s="33" t="str">
        <x:v>II</x:v>
      </x:c>
      <x:c r="B75" s="33" t="str">
        <x:v>C45-C49</x:v>
      </x:c>
      <x:c r="C75" s="51" t="str">
        <x:v>Мезотелиальной и мягких тканей</x:v>
      </x:c>
      <x:c r="D75" s="33" t="str">
        <x:v>C48</x:v>
      </x:c>
      <x:c r="E75" s="39" t="n">
        <x:v>37</x:v>
      </x:c>
      <x:c r="F75" s="45" t="n">
        <x:v>64</x:v>
      </x:c>
      <x:c r="G75" s="45" t="n">
        <x:v>59</x:v>
      </x:c>
      <x:c r="H75" s="45" t="n">
        <x:v>72</x:v>
      </x:c>
      <x:c r="I75" s="45" t="n">
        <x:v>63.7027027027027</x:v>
      </x:c>
      <x:c r="J75" s="45" t="n">
        <x:v>9</x:v>
      </x:c>
      <x:c r="K75" s="45" t="n">
        <x:v>84</x:v>
      </x:c>
      <x:c r="L75" s="51" t="str">
        <x:v>Злокачественное новообразование забрюшинного пространства</x:v>
      </x:c>
      <x:c r="M75" s="45" t="n">
        <x:v>13</x:v>
      </x:c>
      <x:c r="N75" s="33" t="str">
        <x:v>False</x:v>
      </x:c>
      <x:c r="O75" s="45" t="n">
        <x:v>2</x:v>
      </x:c>
    </x:row>
    <x:row r="76">
      <x:c r="A76" s="33" t="str">
        <x:v>II</x:v>
      </x:c>
      <x:c r="B76" s="33" t="str">
        <x:v>C45-C49</x:v>
      </x:c>
      <x:c r="C76" s="51" t="str">
        <x:v>Мезотелиальной и мягких тканей</x:v>
      </x:c>
      <x:c r="D76" s="33" t="str">
        <x:v>C49</x:v>
      </x:c>
      <x:c r="E76" s="39" t="n">
        <x:v>50</x:v>
      </x:c>
      <x:c r="F76" s="45" t="n">
        <x:v>69</x:v>
      </x:c>
      <x:c r="G76" s="45" t="n">
        <x:v>60.75</x:v>
      </x:c>
      <x:c r="H76" s="45" t="n">
        <x:v>73</x:v>
      </x:c>
      <x:c r="I76" s="45" t="n">
        <x:v>65.24</x:v>
      </x:c>
      <x:c r="J76" s="45" t="n">
        <x:v>15</x:v>
      </x:c>
      <x:c r="K76" s="45" t="n">
        <x:v>93</x:v>
      </x:c>
      <x:c r="L76" s="51" t="str">
        <x:v>Злокачественное новообразование соединительной и мягких тканей нижней конечности, включая тазобедренную область</x:v>
      </x:c>
      <x:c r="M76" s="45" t="n">
        <x:v>12.25</x:v>
      </x:c>
      <x:c r="N76" s="33" t="str">
        <x:v>False</x:v>
      </x:c>
      <x:c r="O76" s="45" t="n">
        <x:v>2</x:v>
      </x:c>
    </x:row>
    <x:row r="77">
      <x:c r="A77" s="33" t="str">
        <x:v>II</x:v>
      </x:c>
      <x:c r="B77" s="33" t="str">
        <x:v>C50-C50</x:v>
      </x:c>
      <x:c r="C77" s="51" t="str">
        <x:v>Молочной железы</x:v>
      </x:c>
      <x:c r="D77" s="33" t="str">
        <x:v>C50</x:v>
      </x:c>
      <x:c r="E77" s="39" t="n">
        <x:v>675</x:v>
      </x:c>
      <x:c r="F77" s="45" t="n">
        <x:v>66</x:v>
      </x:c>
      <x:c r="G77" s="45" t="n">
        <x:v>57</x:v>
      </x:c>
      <x:c r="H77" s="45" t="n">
        <x:v>75</x:v>
      </x:c>
      <x:c r="I77" s="45" t="n">
        <x:v>65.4074074074074</x:v>
      </x:c>
      <x:c r="J77" s="45" t="n">
        <x:v>31</x:v>
      </x:c>
      <x:c r="K77" s="45" t="n">
        <x:v>97</x:v>
      </x:c>
      <x:c r="L77" s="51" t="str">
        <x:v>Злокачественное новообразование молочной железы, выходящее за пределы одной и более вышеуказанных локализаций</x:v>
      </x:c>
      <x:c r="M77" s="45" t="n">
        <x:v>18</x:v>
      </x:c>
      <x:c r="N77" s="33" t="str">
        <x:v>False</x:v>
      </x:c>
      <x:c r="O77" s="45" t="n">
        <x:v>2</x:v>
      </x:c>
    </x:row>
    <x:row r="78">
      <x:c r="A78" s="33" t="str">
        <x:v>II</x:v>
      </x:c>
      <x:c r="B78" s="33" t="str">
        <x:v>C51-C58</x:v>
      </x:c>
      <x:c r="C78" s="51" t="str">
        <x:v>Женских половых органов</x:v>
      </x:c>
      <x:c r="D78" s="33" t="str">
        <x:v>C51</x:v>
      </x:c>
      <x:c r="E78" s="39" t="n">
        <x:v>32</x:v>
      </x:c>
      <x:c r="F78" s="45" t="n">
        <x:v>73.5</x:v>
      </x:c>
      <x:c r="G78" s="45" t="n">
        <x:v>60.5</x:v>
      </x:c>
      <x:c r="H78" s="45" t="n">
        <x:v>81</x:v>
      </x:c>
      <x:c r="I78" s="45" t="n">
        <x:v>68.21875</x:v>
      </x:c>
      <x:c r="J78" s="45" t="n">
        <x:v>31</x:v>
      </x:c>
      <x:c r="K78" s="45" t="n">
        <x:v>86</x:v>
      </x:c>
      <x:c r="L78" s="51" t="str">
        <x:v>Злокачественное новообразование вульвы, выходящее за пределы одной и более вышеуказанных локализаций</x:v>
      </x:c>
      <x:c r="M78" s="45" t="n">
        <x:v>20.5</x:v>
      </x:c>
      <x:c r="N78" s="33" t="str">
        <x:v>False</x:v>
      </x:c>
      <x:c r="O78" s="45" t="n">
        <x:v>2</x:v>
      </x:c>
    </x:row>
    <x:row r="79">
      <x:c r="A79" s="33" t="str">
        <x:v>II</x:v>
      </x:c>
      <x:c r="B79" s="33" t="str">
        <x:v>C51-C58</x:v>
      </x:c>
      <x:c r="C79" s="51" t="str">
        <x:v>Женских половых органов</x:v>
      </x:c>
      <x:c r="D79" s="33" t="str">
        <x:v>C52</x:v>
      </x:c>
      <x:c r="E79" s="39" t="n">
        <x:v>6</x:v>
      </x:c>
      <x:c r="F79" s="45" t="n">
        <x:v>58</x:v>
      </x:c>
      <x:c r="G79" s="45" t="n">
        <x:v>37.5</x:v>
      </x:c>
      <x:c r="H79" s="45" t="n">
        <x:v>61.25</x:v>
      </x:c>
      <x:c r="I79" s="45" t="n">
        <x:v>49.833333333333336</x:v>
      </x:c>
      <x:c r="J79" s="45" t="n">
        <x:v>3</x:v>
      </x:c>
      <x:c r="K79" s="45" t="n">
        <x:v>87</x:v>
      </x:c>
      <x:c r="L79" s="51" t="str">
        <x:v>Злокачественное новообразование влагалища</x:v>
      </x:c>
      <x:c r="M79" s="45" t="n">
        <x:v>23.75</x:v>
      </x:c>
      <x:c r="N79" s="33" t="str">
        <x:v>False</x:v>
      </x:c>
      <x:c r="O79" s="45" t="n">
        <x:v>2</x:v>
      </x:c>
    </x:row>
    <x:row r="80">
      <x:c r="A80" s="33" t="str">
        <x:v>II</x:v>
      </x:c>
      <x:c r="B80" s="33" t="str">
        <x:v>C51-C58</x:v>
      </x:c>
      <x:c r="C80" s="51" t="str">
        <x:v>Женских половых органов</x:v>
      </x:c>
      <x:c r="D80" s="33" t="str">
        <x:v>C53</x:v>
      </x:c>
      <x:c r="E80" s="39" t="n">
        <x:v>282</x:v>
      </x:c>
      <x:c r="F80" s="45" t="n">
        <x:v>57</x:v>
      </x:c>
      <x:c r="G80" s="45" t="n">
        <x:v>45</x:v>
      </x:c>
      <x:c r="H80" s="45" t="n">
        <x:v>68</x:v>
      </x:c>
      <x:c r="I80" s="45" t="n">
        <x:v>57.06028368794326</x:v>
      </x:c>
      <x:c r="J80" s="45" t="n">
        <x:v>27</x:v>
      </x:c>
      <x:c r="K80" s="45" t="n">
        <x:v>91</x:v>
      </x:c>
      <x:c r="L80" s="51" t="str">
        <x:v>Злокачественное новообразование шейки матки, выходящее за пределы одной и более вышеуказанных локализаций</x:v>
      </x:c>
      <x:c r="M80" s="45" t="n">
        <x:v>23</x:v>
      </x:c>
      <x:c r="N80" s="33" t="str">
        <x:v>False</x:v>
      </x:c>
      <x:c r="O80" s="45" t="n">
        <x:v>2</x:v>
      </x:c>
    </x:row>
    <x:row r="81">
      <x:c r="A81" s="33" t="str">
        <x:v>II</x:v>
      </x:c>
      <x:c r="B81" s="33" t="str">
        <x:v>C51-C58</x:v>
      </x:c>
      <x:c r="C81" s="51" t="str">
        <x:v>Женских половых органов</x:v>
      </x:c>
      <x:c r="D81" s="33" t="str">
        <x:v>C54</x:v>
      </x:c>
      <x:c r="E81" s="39" t="n">
        <x:v>221</x:v>
      </x:c>
      <x:c r="F81" s="45" t="n">
        <x:v>68</x:v>
      </x:c>
      <x:c r="G81" s="45" t="n">
        <x:v>61</x:v>
      </x:c>
      <x:c r="H81" s="45" t="n">
        <x:v>76</x:v>
      </x:c>
      <x:c r="I81" s="45" t="n">
        <x:v>67.35746606334841</x:v>
      </x:c>
      <x:c r="J81" s="45" t="n">
        <x:v>39</x:v>
      </x:c>
      <x:c r="K81" s="45" t="n">
        <x:v>92</x:v>
      </x:c>
      <x:c r="L81" s="51" t="str">
        <x:v>Злокачественное новообразование тела матки, выходящее за пределы одной и более вышеуказанных локализаций</x:v>
      </x:c>
      <x:c r="M81" s="45" t="n">
        <x:v>15</x:v>
      </x:c>
      <x:c r="N81" s="33" t="str">
        <x:v>False</x:v>
      </x:c>
      <x:c r="O81" s="45" t="n">
        <x:v>2</x:v>
      </x:c>
    </x:row>
    <x:row r="82">
      <x:c r="A82" s="33" t="str">
        <x:v>II</x:v>
      </x:c>
      <x:c r="B82" s="33" t="str">
        <x:v>C51-C58</x:v>
      </x:c>
      <x:c r="C82" s="51" t="str">
        <x:v>Женских половых органов</x:v>
      </x:c>
      <x:c r="D82" s="33" t="str">
        <x:v>C55</x:v>
      </x:c>
      <x:c r="E82" s="39" t="n">
        <x:v>1</x:v>
      </x:c>
      <x:c r="F82" s="45" t="n">
        <x:v>68</x:v>
      </x:c>
      <x:c r="G82" s="45" t="n">
        <x:v>68</x:v>
      </x:c>
      <x:c r="H82" s="45" t="n">
        <x:v>68</x:v>
      </x:c>
      <x:c r="I82" s="45" t="n">
        <x:v>68</x:v>
      </x:c>
      <x:c r="J82" s="45" t="n">
        <x:v>68</x:v>
      </x:c>
      <x:c r="K82" s="45" t="n">
        <x:v>68</x:v>
      </x:c>
      <x:c r="L82" s="51" t="str">
        <x:v>Злокачественное новообразование матки</x:v>
      </x:c>
      <x:c r="M82" s="45" t="n">
        <x:v>0</x:v>
      </x:c>
      <x:c r="N82" s="33" t="str">
        <x:v>True</x:v>
      </x:c>
      <x:c r="O82" s="45" t="n">
        <x:v>2</x:v>
      </x:c>
    </x:row>
    <x:row r="83">
      <x:c r="A83" s="33" t="str">
        <x:v>II</x:v>
      </x:c>
      <x:c r="B83" s="33" t="str">
        <x:v>C51-C58</x:v>
      </x:c>
      <x:c r="C83" s="51" t="str">
        <x:v>Женских половых органов</x:v>
      </x:c>
      <x:c r="D83" s="33" t="str">
        <x:v>C56</x:v>
      </x:c>
      <x:c r="E83" s="39" t="n">
        <x:v>311</x:v>
      </x:c>
      <x:c r="F83" s="45" t="n">
        <x:v>67</x:v>
      </x:c>
      <x:c r="G83" s="45" t="n">
        <x:v>61</x:v>
      </x:c>
      <x:c r="H83" s="45" t="n">
        <x:v>74.5</x:v>
      </x:c>
      <x:c r="I83" s="45" t="n">
        <x:v>66.45659163987138</x:v>
      </x:c>
      <x:c r="J83" s="45" t="n">
        <x:v>20</x:v>
      </x:c>
      <x:c r="K83" s="45" t="n">
        <x:v>92</x:v>
      </x:c>
      <x:c r="L83" s="51" t="str">
        <x:v>Злокачественное новообразование яичника</x:v>
      </x:c>
      <x:c r="M83" s="45" t="n">
        <x:v>13.5</x:v>
      </x:c>
      <x:c r="N83" s="33" t="str">
        <x:v>False</x:v>
      </x:c>
      <x:c r="O83" s="45" t="n">
        <x:v>2</x:v>
      </x:c>
    </x:row>
    <x:row r="84">
      <x:c r="A84" s="33" t="str">
        <x:v>II</x:v>
      </x:c>
      <x:c r="B84" s="33" t="str">
        <x:v>C51-C58</x:v>
      </x:c>
      <x:c r="C84" s="51" t="str">
        <x:v>Женских половых органов</x:v>
      </x:c>
      <x:c r="D84" s="33" t="str">
        <x:v>C57</x:v>
      </x:c>
      <x:c r="E84" s="39" t="n">
        <x:v>17</x:v>
      </x:c>
      <x:c r="F84" s="45" t="n">
        <x:v>63</x:v>
      </x:c>
      <x:c r="G84" s="45" t="n">
        <x:v>56</x:v>
      </x:c>
      <x:c r="H84" s="45" t="n">
        <x:v>69</x:v>
      </x:c>
      <x:c r="I84" s="45" t="n">
        <x:v>63.76470588235294</x:v>
      </x:c>
      <x:c r="J84" s="45" t="n">
        <x:v>46</x:v>
      </x:c>
      <x:c r="K84" s="45" t="n">
        <x:v>80</x:v>
      </x:c>
      <x:c r="L84" s="51" t="str">
        <x:v>Злокачественное новообразование женских половых органов</x:v>
      </x:c>
      <x:c r="M84" s="45" t="n">
        <x:v>13</x:v>
      </x:c>
      <x:c r="N84" s="33" t="str">
        <x:v>False</x:v>
      </x:c>
      <x:c r="O84" s="45" t="n">
        <x:v>2</x:v>
      </x:c>
    </x:row>
    <x:row r="85">
      <x:c r="A85" s="33" t="str">
        <x:v>II</x:v>
      </x:c>
      <x:c r="B85" s="33" t="str">
        <x:v>C60-C63</x:v>
      </x:c>
      <x:c r="C85" s="51" t="str">
        <x:v>Мужских половых органов</x:v>
      </x:c>
      <x:c r="D85" s="33" t="str">
        <x:v>C60</x:v>
      </x:c>
      <x:c r="E85" s="39" t="n">
        <x:v>9</x:v>
      </x:c>
      <x:c r="F85" s="45" t="n">
        <x:v>68</x:v>
      </x:c>
      <x:c r="G85" s="45" t="n">
        <x:v>60</x:v>
      </x:c>
      <x:c r="H85" s="45" t="n">
        <x:v>74</x:v>
      </x:c>
      <x:c r="I85" s="45" t="n">
        <x:v>67.22222222222223</x:v>
      </x:c>
      <x:c r="J85" s="45" t="n">
        <x:v>52</x:v>
      </x:c>
      <x:c r="K85" s="45" t="n">
        <x:v>79</x:v>
      </x:c>
      <x:c r="L85" s="51" t="str">
        <x:v>Злокачественное новообразование крайней плоти</x:v>
      </x:c>
      <x:c r="M85" s="45" t="n">
        <x:v>14</x:v>
      </x:c>
      <x:c r="N85" s="33" t="str">
        <x:v>False</x:v>
      </x:c>
      <x:c r="O85" s="45" t="n">
        <x:v>2</x:v>
      </x:c>
    </x:row>
    <x:row r="86">
      <x:c r="A86" s="33" t="str">
        <x:v>II</x:v>
      </x:c>
      <x:c r="B86" s="33" t="str">
        <x:v>C60-C63</x:v>
      </x:c>
      <x:c r="C86" s="51" t="str">
        <x:v>Мужских половых органов</x:v>
      </x:c>
      <x:c r="D86" s="33" t="str">
        <x:v>C61</x:v>
      </x:c>
      <x:c r="E86" s="39" t="n">
        <x:v>388</x:v>
      </x:c>
      <x:c r="F86" s="45" t="n">
        <x:v>72</x:v>
      </x:c>
      <x:c r="G86" s="45" t="n">
        <x:v>66</x:v>
      </x:c>
      <x:c r="H86" s="45" t="n">
        <x:v>77.25</x:v>
      </x:c>
      <x:c r="I86" s="45" t="n">
        <x:v>71.97680412371135</x:v>
      </x:c>
      <x:c r="J86" s="45" t="n">
        <x:v>54</x:v>
      </x:c>
      <x:c r="K86" s="45" t="n">
        <x:v>94</x:v>
      </x:c>
      <x:c r="L86" s="51" t="str">
        <x:v>Злокачественное новообразование предстательной железы</x:v>
      </x:c>
      <x:c r="M86" s="45" t="n">
        <x:v>11.25</x:v>
      </x:c>
      <x:c r="N86" s="33" t="str">
        <x:v>False</x:v>
      </x:c>
      <x:c r="O86" s="45" t="n">
        <x:v>2</x:v>
      </x:c>
    </x:row>
    <x:row r="87">
      <x:c r="A87" s="33" t="str">
        <x:v>II</x:v>
      </x:c>
      <x:c r="B87" s="33" t="str">
        <x:v>C60-C63</x:v>
      </x:c>
      <x:c r="C87" s="51" t="str">
        <x:v>Мужских половых органов</x:v>
      </x:c>
      <x:c r="D87" s="33" t="str">
        <x:v>C62</x:v>
      </x:c>
      <x:c r="E87" s="39" t="n">
        <x:v>18</x:v>
      </x:c>
      <x:c r="F87" s="45" t="n">
        <x:v>42</x:v>
      </x:c>
      <x:c r="G87" s="45" t="n">
        <x:v>36.75</x:v>
      </x:c>
      <x:c r="H87" s="45" t="n">
        <x:v>54</x:v>
      </x:c>
      <x:c r="I87" s="45" t="n">
        <x:v>46.44444444444444</x:v>
      </x:c>
      <x:c r="J87" s="45" t="n">
        <x:v>24</x:v>
      </x:c>
      <x:c r="K87" s="45" t="n">
        <x:v>74</x:v>
      </x:c>
      <x:c r="L87" s="51" t="str">
        <x:v>Злокачественное новообразование опущенного яичка</x:v>
      </x:c>
      <x:c r="M87" s="45" t="n">
        <x:v>17.25</x:v>
      </x:c>
      <x:c r="N87" s="33" t="str">
        <x:v>False</x:v>
      </x:c>
      <x:c r="O87" s="45" t="n">
        <x:v>2</x:v>
      </x:c>
    </x:row>
    <x:row r="88">
      <x:c r="A88" s="33" t="str">
        <x:v>II</x:v>
      </x:c>
      <x:c r="B88" s="33" t="str">
        <x:v>C60-C63</x:v>
      </x:c>
      <x:c r="C88" s="51" t="str">
        <x:v>Мужских половых органов</x:v>
      </x:c>
      <x:c r="D88" s="33" t="str">
        <x:v>C63</x:v>
      </x:c>
      <x:c r="E88" s="39" t="n">
        <x:v>3</x:v>
      </x:c>
      <x:c r="F88" s="45" t="n">
        <x:v>73</x:v>
      </x:c>
      <x:c r="G88" s="45" t="n">
        <x:v>72.5</x:v>
      </x:c>
      <x:c r="H88" s="45" t="n">
        <x:v>73</x:v>
      </x:c>
      <x:c r="I88" s="45" t="n">
        <x:v>72.66666666666667</x:v>
      </x:c>
      <x:c r="J88" s="45" t="n">
        <x:v>72</x:v>
      </x:c>
      <x:c r="K88" s="45" t="n">
        <x:v>73</x:v>
      </x:c>
      <x:c r="L88" s="51" t="str">
        <x:v>Злокачественное новообразование мужских половых органов</x:v>
      </x:c>
      <x:c r="M88" s="45" t="n">
        <x:v>0.5</x:v>
      </x:c>
      <x:c r="N88" s="33" t="str">
        <x:v>True</x:v>
      </x:c>
      <x:c r="O88" s="45" t="n">
        <x:v>2</x:v>
      </x:c>
    </x:row>
    <x:row r="89">
      <x:c r="A89" s="33" t="str">
        <x:v>II</x:v>
      </x:c>
      <x:c r="B89" s="33" t="str">
        <x:v>C64-C68</x:v>
      </x:c>
      <x:c r="C89" s="51" t="str">
        <x:v>Мочевых путей</x:v>
      </x:c>
      <x:c r="D89" s="33" t="str">
        <x:v>C64</x:v>
      </x:c>
      <x:c r="E89" s="39" t="n">
        <x:v>323</x:v>
      </x:c>
      <x:c r="F89" s="45" t="n">
        <x:v>66</x:v>
      </x:c>
      <x:c r="G89" s="45" t="n">
        <x:v>59</x:v>
      </x:c>
      <x:c r="H89" s="45" t="n">
        <x:v>73</x:v>
      </x:c>
      <x:c r="I89" s="45" t="n">
        <x:v>66.15170278637771</x:v>
      </x:c>
      <x:c r="J89" s="45" t="n">
        <x:v>30</x:v>
      </x:c>
      <x:c r="K89" s="45" t="n">
        <x:v>95</x:v>
      </x:c>
      <x:c r="L89" s="51" t="str">
        <x:v>Злокачественное новообразование почки, кроме почечной лоханки</x:v>
      </x:c>
      <x:c r="M89" s="45" t="n">
        <x:v>14</x:v>
      </x:c>
      <x:c r="N89" s="33" t="str">
        <x:v>False</x:v>
      </x:c>
      <x:c r="O89" s="45" t="n">
        <x:v>2</x:v>
      </x:c>
    </x:row>
    <x:row r="90">
      <x:c r="A90" s="33" t="str">
        <x:v>II</x:v>
      </x:c>
      <x:c r="B90" s="33" t="str">
        <x:v>C64-C68</x:v>
      </x:c>
      <x:c r="C90" s="51" t="str">
        <x:v>Мочевых путей</x:v>
      </x:c>
      <x:c r="D90" s="33" t="str">
        <x:v>C65</x:v>
      </x:c>
      <x:c r="E90" s="39" t="n">
        <x:v>12</x:v>
      </x:c>
      <x:c r="F90" s="45" t="n">
        <x:v>70</x:v>
      </x:c>
      <x:c r="G90" s="45" t="n">
        <x:v>66.5</x:v>
      </x:c>
      <x:c r="H90" s="45" t="n">
        <x:v>76.25</x:v>
      </x:c>
      <x:c r="I90" s="45" t="n">
        <x:v>71.33333333333333</x:v>
      </x:c>
      <x:c r="J90" s="45" t="n">
        <x:v>57</x:v>
      </x:c>
      <x:c r="K90" s="45" t="n">
        <x:v>84</x:v>
      </x:c>
      <x:c r="L90" s="51" t="str">
        <x:v>Злокачественное новообразование почечных лоханок</x:v>
      </x:c>
      <x:c r="M90" s="45" t="n">
        <x:v>9.75</x:v>
      </x:c>
      <x:c r="N90" s="33" t="str">
        <x:v>False</x:v>
      </x:c>
      <x:c r="O90" s="45" t="n">
        <x:v>2</x:v>
      </x:c>
    </x:row>
    <x:row r="91">
      <x:c r="A91" s="33" t="str">
        <x:v>II</x:v>
      </x:c>
      <x:c r="B91" s="33" t="str">
        <x:v>C64-C68</x:v>
      </x:c>
      <x:c r="C91" s="51" t="str">
        <x:v>Мочевых путей</x:v>
      </x:c>
      <x:c r="D91" s="33" t="str">
        <x:v>C66</x:v>
      </x:c>
      <x:c r="E91" s="39" t="n">
        <x:v>9</x:v>
      </x:c>
      <x:c r="F91" s="45" t="n">
        <x:v>68</x:v>
      </x:c>
      <x:c r="G91" s="45" t="n">
        <x:v>63</x:v>
      </x:c>
      <x:c r="H91" s="45" t="n">
        <x:v>73</x:v>
      </x:c>
      <x:c r="I91" s="45" t="n">
        <x:v>68</x:v>
      </x:c>
      <x:c r="J91" s="45" t="n">
        <x:v>46</x:v>
      </x:c>
      <x:c r="K91" s="45" t="n">
        <x:v>81</x:v>
      </x:c>
      <x:c r="L91" s="51" t="str">
        <x:v>Злокачественное новообразование мочеточника</x:v>
      </x:c>
      <x:c r="M91" s="45" t="n">
        <x:v>10</x:v>
      </x:c>
      <x:c r="N91" s="33" t="str">
        <x:v>False</x:v>
      </x:c>
      <x:c r="O91" s="45" t="n">
        <x:v>2</x:v>
      </x:c>
    </x:row>
    <x:row r="92">
      <x:c r="A92" s="33" t="str">
        <x:v>II</x:v>
      </x:c>
      <x:c r="B92" s="33" t="str">
        <x:v>C64-C68</x:v>
      </x:c>
      <x:c r="C92" s="51" t="str">
        <x:v>Мочевых путей</x:v>
      </x:c>
      <x:c r="D92" s="33" t="str">
        <x:v>C67</x:v>
      </x:c>
      <x:c r="E92" s="39" t="n">
        <x:v>262</x:v>
      </x:c>
      <x:c r="F92" s="45" t="n">
        <x:v>70</x:v>
      </x:c>
      <x:c r="G92" s="45" t="n">
        <x:v>63</x:v>
      </x:c>
      <x:c r="H92" s="45" t="n">
        <x:v>77</x:v>
      </x:c>
      <x:c r="I92" s="45" t="n">
        <x:v>69.95419847328245</x:v>
      </x:c>
      <x:c r="J92" s="45" t="n">
        <x:v>32</x:v>
      </x:c>
      <x:c r="K92" s="45" t="n">
        <x:v>92</x:v>
      </x:c>
      <x:c r="L92" s="51" t="str">
        <x:v>Злокачественное новообразование мочевого пузыря, выходящее за пределы одной и более вышеуказанных локализаций</x:v>
      </x:c>
      <x:c r="M92" s="45" t="n">
        <x:v>14</x:v>
      </x:c>
      <x:c r="N92" s="33" t="str">
        <x:v>False</x:v>
      </x:c>
      <x:c r="O92" s="45" t="n">
        <x:v>2</x:v>
      </x:c>
    </x:row>
    <x:row r="93">
      <x:c r="A93" s="33" t="str">
        <x:v>II</x:v>
      </x:c>
      <x:c r="B93" s="33" t="str">
        <x:v>C64-C68</x:v>
      </x:c>
      <x:c r="C93" s="51" t="str">
        <x:v>Мочевых путей</x:v>
      </x:c>
      <x:c r="D93" s="33" t="str">
        <x:v>C68</x:v>
      </x:c>
      <x:c r="E93" s="39" t="n">
        <x:v>9</x:v>
      </x:c>
      <x:c r="F93" s="45" t="n">
        <x:v>64</x:v>
      </x:c>
      <x:c r="G93" s="45" t="n">
        <x:v>64</x:v>
      </x:c>
      <x:c r="H93" s="45" t="n">
        <x:v>69</x:v>
      </x:c>
      <x:c r="I93" s="45" t="n">
        <x:v>66.44444444444444</x:v>
      </x:c>
      <x:c r="J93" s="45" t="n">
        <x:v>59</x:v>
      </x:c>
      <x:c r="K93" s="45" t="n">
        <x:v>76</x:v>
      </x:c>
      <x:c r="L93" s="51" t="str">
        <x:v>Злокачественное новообразование мочевых органов, выходящее за пределы одной и более вышеуказанных локализаций</x:v>
      </x:c>
      <x:c r="M93" s="45" t="n">
        <x:v>5</x:v>
      </x:c>
      <x:c r="N93" s="33" t="str">
        <x:v>False</x:v>
      </x:c>
      <x:c r="O93" s="45" t="n">
        <x:v>2</x:v>
      </x:c>
    </x:row>
    <x:row r="94">
      <x:c r="A94" s="33" t="str">
        <x:v>II</x:v>
      </x:c>
      <x:c r="B94" s="33" t="str">
        <x:v>C69-C72</x:v>
      </x:c>
      <x:c r="C94" s="51" t="str">
        <x:v>Глаза, головного мозга и других отделов центральной нервной системы</x:v>
      </x:c>
      <x:c r="D94" s="33" t="str">
        <x:v>C69</x:v>
      </x:c>
      <x:c r="E94" s="39" t="n">
        <x:v>15</x:v>
      </x:c>
      <x:c r="F94" s="45" t="n">
        <x:v>68</x:v>
      </x:c>
      <x:c r="G94" s="45" t="n">
        <x:v>64</x:v>
      </x:c>
      <x:c r="H94" s="45" t="n">
        <x:v>72.5</x:v>
      </x:c>
      <x:c r="I94" s="45" t="n">
        <x:v>66</x:v>
      </x:c>
      <x:c r="J94" s="45" t="n">
        <x:v>23</x:v>
      </x:c>
      <x:c r="K94" s="45" t="n">
        <x:v>81</x:v>
      </x:c>
      <x:c r="L94" s="51" t="str">
        <x:v>Злокачественное новообразование сосудистой оболочки</x:v>
      </x:c>
      <x:c r="M94" s="45" t="n">
        <x:v>8.5</x:v>
      </x:c>
      <x:c r="N94" s="33" t="str">
        <x:v>False</x:v>
      </x:c>
      <x:c r="O94" s="45" t="n">
        <x:v>2</x:v>
      </x:c>
    </x:row>
    <x:row r="95">
      <x:c r="A95" s="33" t="str">
        <x:v>II</x:v>
      </x:c>
      <x:c r="B95" s="33" t="str">
        <x:v>C69-C72</x:v>
      </x:c>
      <x:c r="C95" s="51" t="str">
        <x:v>Глаза, головного мозга и других отделов центральной нервной системы</x:v>
      </x:c>
      <x:c r="D95" s="33" t="str">
        <x:v>C70</x:v>
      </x:c>
      <x:c r="E95" s="39" t="n">
        <x:v>7</x:v>
      </x:c>
      <x:c r="F95" s="45" t="n">
        <x:v>68</x:v>
      </x:c>
      <x:c r="G95" s="45" t="n">
        <x:v>50.5</x:v>
      </x:c>
      <x:c r="H95" s="45" t="n">
        <x:v>68.5</x:v>
      </x:c>
      <x:c r="I95" s="45" t="n">
        <x:v>54.57142857142857</x:v>
      </x:c>
      <x:c r="J95" s="45" t="n">
        <x:v>4</x:v>
      </x:c>
      <x:c r="K95" s="45" t="n">
        <x:v>72</x:v>
      </x:c>
      <x:c r="L95" s="51" t="str">
        <x:v>Злокачественное новообразование оболочек головного мозга</x:v>
      </x:c>
      <x:c r="M95" s="45" t="n">
        <x:v>18</x:v>
      </x:c>
      <x:c r="N95" s="33" t="str">
        <x:v>False</x:v>
      </x:c>
      <x:c r="O95" s="45" t="n">
        <x:v>2</x:v>
      </x:c>
    </x:row>
    <x:row r="96">
      <x:c r="A96" s="33" t="str">
        <x:v>II</x:v>
      </x:c>
      <x:c r="B96" s="33" t="str">
        <x:v>C69-C72</x:v>
      </x:c>
      <x:c r="C96" s="51" t="str">
        <x:v>Глаза, головного мозга и других отделов центральной нервной системы</x:v>
      </x:c>
      <x:c r="D96" s="33" t="str">
        <x:v>C71</x:v>
      </x:c>
      <x:c r="E96" s="39" t="n">
        <x:v>220</x:v>
      </x:c>
      <x:c r="F96" s="45" t="n">
        <x:v>64</x:v>
      </x:c>
      <x:c r="G96" s="45" t="n">
        <x:v>53</x:v>
      </x:c>
      <x:c r="H96" s="45" t="n">
        <x:v>72</x:v>
      </x:c>
      <x:c r="I96" s="45" t="n">
        <x:v>60.86818181818182</x:v>
      </x:c>
      <x:c r="J96" s="45" t="n">
        <x:v>3</x:v>
      </x:c>
      <x:c r="K96" s="45" t="n">
        <x:v>95</x:v>
      </x:c>
      <x:c r="L96" s="51" t="str">
        <x:v>Злокачественное новообразование головного мозга, выходящее за пределы одной и более вышеуказанных локализаций</x:v>
      </x:c>
      <x:c r="M96" s="45" t="n">
        <x:v>19</x:v>
      </x:c>
      <x:c r="N96" s="33" t="str">
        <x:v>False</x:v>
      </x:c>
      <x:c r="O96" s="45" t="n">
        <x:v>2</x:v>
      </x:c>
    </x:row>
    <x:row r="97">
      <x:c r="A97" s="33" t="str">
        <x:v>II</x:v>
      </x:c>
      <x:c r="B97" s="33" t="str">
        <x:v>C69-C72</x:v>
      </x:c>
      <x:c r="C97" s="51" t="str">
        <x:v>Глаза, головного мозга и других отделов центральной нервной системы</x:v>
      </x:c>
      <x:c r="D97" s="33" t="str">
        <x:v>C72</x:v>
      </x:c>
      <x:c r="E97" s="39" t="n">
        <x:v>7</x:v>
      </x:c>
      <x:c r="F97" s="45" t="n">
        <x:v>72</x:v>
      </x:c>
      <x:c r="G97" s="45" t="n">
        <x:v>46</x:v>
      </x:c>
      <x:c r="H97" s="45" t="n">
        <x:v>76.5</x:v>
      </x:c>
      <x:c r="I97" s="45" t="n">
        <x:v>61.57142857142857</x:v>
      </x:c>
      <x:c r="J97" s="45" t="n">
        <x:v>28</x:v>
      </x:c>
      <x:c r="K97" s="45" t="n">
        <x:v>86</x:v>
      </x:c>
      <x:c r="L97" s="51" t="str">
        <x:v>Злокачественное новообразование спинного мозга</x:v>
      </x:c>
      <x:c r="M97" s="45" t="n">
        <x:v>30.5</x:v>
      </x:c>
      <x:c r="N97" s="33" t="str">
        <x:v>False</x:v>
      </x:c>
      <x:c r="O97" s="45" t="n">
        <x:v>2</x:v>
      </x:c>
    </x:row>
    <x:row r="98">
      <x:c r="A98" s="33" t="str">
        <x:v>II</x:v>
      </x:c>
      <x:c r="B98" s="33" t="str">
        <x:v>C73-C75</x:v>
      </x:c>
      <x:c r="C98" s="51" t="str">
        <x:v>Щитовидной и других эндокринных желез</x:v>
      </x:c>
      <x:c r="D98" s="33" t="str">
        <x:v>C73</x:v>
      </x:c>
      <x:c r="E98" s="39" t="n">
        <x:v>29</x:v>
      </x:c>
      <x:c r="F98" s="45" t="n">
        <x:v>72</x:v>
      </x:c>
      <x:c r="G98" s="45" t="n">
        <x:v>64</x:v>
      </x:c>
      <x:c r="H98" s="45" t="n">
        <x:v>79</x:v>
      </x:c>
      <x:c r="I98" s="45" t="n">
        <x:v>69.44827586206897</x:v>
      </x:c>
      <x:c r="J98" s="45" t="n">
        <x:v>32</x:v>
      </x:c>
      <x:c r="K98" s="45" t="n">
        <x:v>90</x:v>
      </x:c>
      <x:c r="L98" s="51" t="str">
        <x:v>Злокачественное новообразование щитовидной железы</x:v>
      </x:c>
      <x:c r="M98" s="45" t="n">
        <x:v>15</x:v>
      </x:c>
      <x:c r="N98" s="33" t="str">
        <x:v>False</x:v>
      </x:c>
      <x:c r="O98" s="45" t="n">
        <x:v>2</x:v>
      </x:c>
    </x:row>
    <x:row r="99">
      <x:c r="A99" s="33" t="str">
        <x:v>II</x:v>
      </x:c>
      <x:c r="B99" s="33" t="str">
        <x:v>C73-C75</x:v>
      </x:c>
      <x:c r="C99" s="51" t="str">
        <x:v>Щитовидной и других эндокринных желез</x:v>
      </x:c>
      <x:c r="D99" s="33" t="str">
        <x:v>C74</x:v>
      </x:c>
      <x:c r="E99" s="39" t="n">
        <x:v>25</x:v>
      </x:c>
      <x:c r="F99" s="45" t="n">
        <x:v>63</x:v>
      </x:c>
      <x:c r="G99" s="45" t="n">
        <x:v>57</x:v>
      </x:c>
      <x:c r="H99" s="45" t="n">
        <x:v>67</x:v>
      </x:c>
      <x:c r="I99" s="45" t="n">
        <x:v>62.08</x:v>
      </x:c>
      <x:c r="J99" s="45" t="n">
        <x:v>41</x:v>
      </x:c>
      <x:c r="K99" s="45" t="n">
        <x:v>89</x:v>
      </x:c>
      <x:c r="L99" s="51" t="str">
        <x:v>Злокачественное новообразование коры надпочечника</x:v>
      </x:c>
      <x:c r="M99" s="45" t="n">
        <x:v>10</x:v>
      </x:c>
      <x:c r="N99" s="33" t="str">
        <x:v>False</x:v>
      </x:c>
      <x:c r="O99" s="45" t="n">
        <x:v>2</x:v>
      </x:c>
    </x:row>
    <x:row r="100">
      <x:c r="A100" s="33" t="str">
        <x:v>II</x:v>
      </x:c>
      <x:c r="B100" s="33" t="str">
        <x:v>C73-C75</x:v>
      </x:c>
      <x:c r="C100" s="51" t="str">
        <x:v>Щитовидной и других эндокринных желез</x:v>
      </x:c>
      <x:c r="D100" s="33" t="str">
        <x:v>C75</x:v>
      </x:c>
      <x:c r="E100" s="39" t="n">
        <x:v>5</x:v>
      </x:c>
      <x:c r="F100" s="45" t="n">
        <x:v>51</x:v>
      </x:c>
      <x:c r="G100" s="45" t="n">
        <x:v>51</x:v>
      </x:c>
      <x:c r="H100" s="45" t="n">
        <x:v>63</x:v>
      </x:c>
      <x:c r="I100" s="45" t="n">
        <x:v>55</x:v>
      </x:c>
      <x:c r="J100" s="45" t="n">
        <x:v>46</x:v>
      </x:c>
      <x:c r="K100" s="45" t="n">
        <x:v>64</x:v>
      </x:c>
      <x:c r="L100" s="51" t="str">
        <x:v>Злокачественное новообразование гипофиза</x:v>
      </x:c>
      <x:c r="M100" s="45" t="n">
        <x:v>12</x:v>
      </x:c>
      <x:c r="N100" s="33" t="str">
        <x:v>False</x:v>
      </x:c>
      <x:c r="O100" s="45" t="n">
        <x:v>2</x:v>
      </x:c>
    </x:row>
    <x:row r="101">
      <x:c r="A101" s="33" t="str">
        <x:v>II</x:v>
      </x:c>
      <x:c r="B101" s="33" t="str">
        <x:v>C76-C80</x:v>
      </x:c>
      <x:c r="C101" s="51" t="str">
        <x:v>Злокачественные новообразования других, неточно обозначенных и вторичных локализаций</x:v>
      </x:c>
      <x:c r="D101" s="33" t="str">
        <x:v>C76</x:v>
      </x:c>
      <x:c r="E101" s="39" t="n">
        <x:v>10</x:v>
      </x:c>
      <x:c r="F101" s="45" t="n">
        <x:v>66</x:v>
      </x:c>
      <x:c r="G101" s="45" t="n">
        <x:v>63.25</x:v>
      </x:c>
      <x:c r="H101" s="45" t="n">
        <x:v>76</x:v>
      </x:c>
      <x:c r="I101" s="45" t="n">
        <x:v>64.7</x:v>
      </x:c>
      <x:c r="J101" s="45" t="n">
        <x:v>15</x:v>
      </x:c>
      <x:c r="K101" s="45" t="n">
        <x:v>85</x:v>
      </x:c>
      <x:c r="L101" s="51" t="str">
        <x:v>Злокачественное новообразование других и неточно обозначенных локализаций, выходящее за пределы одной и более вышеуказанных локализаций</x:v>
      </x:c>
      <x:c r="M101" s="45" t="n">
        <x:v>12.75</x:v>
      </x:c>
      <x:c r="N101" s="33" t="str">
        <x:v>False</x:v>
      </x:c>
      <x:c r="O101" s="45" t="n">
        <x:v>2</x:v>
      </x:c>
    </x:row>
    <x:row r="102">
      <x:c r="A102" s="33" t="str">
        <x:v>II</x:v>
      </x:c>
      <x:c r="B102" s="33" t="str">
        <x:v>C76-C80</x:v>
      </x:c>
      <x:c r="C102" s="51" t="str">
        <x:v>Злокачественные новообразования других, неточно обозначенных и вторичных локализаций</x:v>
      </x:c>
      <x:c r="D102" s="33" t="str">
        <x:v>C77</x:v>
      </x:c>
      <x:c r="E102" s="39" t="n">
        <x:v>9</x:v>
      </x:c>
      <x:c r="F102" s="45" t="n">
        <x:v>61</x:v>
      </x:c>
      <x:c r="G102" s="45" t="n">
        <x:v>56</x:v>
      </x:c>
      <x:c r="H102" s="45" t="n">
        <x:v>69</x:v>
      </x:c>
      <x:c r="I102" s="45" t="n">
        <x:v>62.22222222222222</x:v>
      </x:c>
      <x:c r="J102" s="45" t="n">
        <x:v>46</x:v>
      </x:c>
      <x:c r="K102" s="45" t="n">
        <x:v>80</x:v>
      </x:c>
      <x:c r="L102" s="51" t="str">
        <x:v>Вторичное злокачественное новообразование лимфатических узлов головы и шеи</x:v>
      </x:c>
      <x:c r="M102" s="45" t="n">
        <x:v>13</x:v>
      </x:c>
      <x:c r="N102" s="33" t="str">
        <x:v>False</x:v>
      </x:c>
      <x:c r="O102" s="45" t="n">
        <x:v>2</x:v>
      </x:c>
    </x:row>
    <x:row r="103">
      <x:c r="A103" s="33" t="str">
        <x:v>II</x:v>
      </x:c>
      <x:c r="B103" s="33" t="str">
        <x:v>C76-C80</x:v>
      </x:c>
      <x:c r="C103" s="51" t="str">
        <x:v>Злокачественные новообразования других, неточно обозначенных и вторичных локализаций</x:v>
      </x:c>
      <x:c r="D103" s="33" t="str">
        <x:v>C78</x:v>
      </x:c>
      <x:c r="E103" s="39" t="n">
        <x:v>2</x:v>
      </x:c>
      <x:c r="F103" s="45" t="n">
        <x:v>70.5</x:v>
      </x:c>
      <x:c r="G103" s="45" t="n">
        <x:v>66.25</x:v>
      </x:c>
      <x:c r="H103" s="45" t="n">
        <x:v>74.75</x:v>
      </x:c>
      <x:c r="I103" s="45" t="n">
        <x:v>70.5</x:v>
      </x:c>
      <x:c r="J103" s="45" t="n">
        <x:v>62</x:v>
      </x:c>
      <x:c r="K103" s="45" t="n">
        <x:v>79</x:v>
      </x:c>
      <x:c r="L103" s="51" t="str">
        <x:v>Вторичное злокачественное новообразование брюшины</x:v>
      </x:c>
      <x:c r="M103" s="45" t="n">
        <x:v>8.5</x:v>
      </x:c>
      <x:c r="N103" s="33" t="str">
        <x:v>True</x:v>
      </x:c>
      <x:c r="O103" s="45" t="n">
        <x:v>2</x:v>
      </x:c>
    </x:row>
    <x:row r="104">
      <x:c r="A104" s="33" t="str">
        <x:v>II</x:v>
      </x:c>
      <x:c r="B104" s="33" t="str">
        <x:v>C76-C80</x:v>
      </x:c>
      <x:c r="C104" s="51" t="str">
        <x:v>Злокачественные новообразования других, неточно обозначенных и вторичных локализаций</x:v>
      </x:c>
      <x:c r="D104" s="33" t="str">
        <x:v>C79</x:v>
      </x:c>
      <x:c r="E104" s="39" t="n">
        <x:v>10</x:v>
      </x:c>
      <x:c r="F104" s="45" t="n">
        <x:v>63.5</x:v>
      </x:c>
      <x:c r="G104" s="45" t="n">
        <x:v>53.25</x:v>
      </x:c>
      <x:c r="H104" s="45" t="n">
        <x:v>72</x:v>
      </x:c>
      <x:c r="I104" s="45" t="n">
        <x:v>62.8</x:v>
      </x:c>
      <x:c r="J104" s="45" t="n">
        <x:v>43</x:v>
      </x:c>
      <x:c r="K104" s="45" t="n">
        <x:v>83</x:v>
      </x:c>
      <x:c r="L104" s="51" t="str">
        <x:v>Вторичное злокачественное новообразование других уточненных локализаций</x:v>
      </x:c>
      <x:c r="M104" s="45" t="n">
        <x:v>18.75</x:v>
      </x:c>
      <x:c r="N104" s="33" t="str">
        <x:v>False</x:v>
      </x:c>
      <x:c r="O104" s="45" t="n">
        <x:v>2</x:v>
      </x:c>
    </x:row>
    <x:row r="105">
      <x:c r="A105" s="33" t="str">
        <x:v>II</x:v>
      </x:c>
      <x:c r="B105" s="33" t="str">
        <x:v>C76-C80</x:v>
      </x:c>
      <x:c r="C105" s="51" t="str">
        <x:v>Злокачественные новообразования других, неточно обозначенных и вторичных локализаций</x:v>
      </x:c>
      <x:c r="D105" s="33" t="str">
        <x:v>C80</x:v>
      </x:c>
      <x:c r="E105" s="39" t="n">
        <x:v>30</x:v>
      </x:c>
      <x:c r="F105" s="45" t="n">
        <x:v>62</x:v>
      </x:c>
      <x:c r="G105" s="45" t="n">
        <x:v>56.25</x:v>
      </x:c>
      <x:c r="H105" s="45" t="n">
        <x:v>69</x:v>
      </x:c>
      <x:c r="I105" s="45" t="n">
        <x:v>62.9</x:v>
      </x:c>
      <x:c r="J105" s="45" t="n">
        <x:v>32</x:v>
      </x:c>
      <x:c r="K105" s="45" t="n">
        <x:v>82</x:v>
      </x:c>
      <x:c r="L105" s="51" t="str">
        <x:v>Злокачественное новообразование неуточненное</x:v>
      </x:c>
      <x:c r="M105" s="45" t="n">
        <x:v>12.75</x:v>
      </x:c>
      <x:c r="N105" s="33" t="str">
        <x:v>False</x:v>
      </x:c>
      <x:c r="O105" s="45" t="n">
        <x:v>2</x:v>
      </x:c>
    </x:row>
    <x:row r="106">
      <x:c r="A106" s="33" t="str">
        <x:v>II</x:v>
      </x:c>
      <x:c r="B106" s="33" t="str">
        <x:v>C81-C96</x:v>
      </x:c>
      <x:c r="C106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106" s="33" t="str">
        <x:v>C81</x:v>
      </x:c>
      <x:c r="E106" s="39" t="n">
        <x:v>11</x:v>
      </x:c>
      <x:c r="F106" s="45" t="n">
        <x:v>66</x:v>
      </x:c>
      <x:c r="G106" s="45" t="n">
        <x:v>48.5</x:v>
      </x:c>
      <x:c r="H106" s="45" t="n">
        <x:v>70</x:v>
      </x:c>
      <x:c r="I106" s="45" t="n">
        <x:v>59.72727272727273</x:v>
      </x:c>
      <x:c r="J106" s="45" t="n">
        <x:v>28</x:v>
      </x:c>
      <x:c r="K106" s="45" t="n">
        <x:v>84</x:v>
      </x:c>
      <x:c r="L106" s="51" t="str">
        <x:v>(Классическая) лимфома Ходжкина [Hodgkin] с нодулярным склерозом</x:v>
      </x:c>
      <x:c r="M106" s="45" t="n">
        <x:v>21.5</x:v>
      </x:c>
      <x:c r="N106" s="33" t="str">
        <x:v>False</x:v>
      </x:c>
      <x:c r="O106" s="45" t="n">
        <x:v>2</x:v>
      </x:c>
    </x:row>
    <x:row r="107">
      <x:c r="A107" s="33" t="str">
        <x:v>II</x:v>
      </x:c>
      <x:c r="B107" s="33" t="str">
        <x:v>C81-C96</x:v>
      </x:c>
      <x:c r="C107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107" s="33" t="str">
        <x:v>C82</x:v>
      </x:c>
      <x:c r="E107" s="39" t="n">
        <x:v>8</x:v>
      </x:c>
      <x:c r="F107" s="45" t="n">
        <x:v>73.5</x:v>
      </x:c>
      <x:c r="G107" s="45" t="n">
        <x:v>66.25</x:v>
      </x:c>
      <x:c r="H107" s="45" t="n">
        <x:v>75.25</x:v>
      </x:c>
      <x:c r="I107" s="45" t="n">
        <x:v>69.5</x:v>
      </x:c>
      <x:c r="J107" s="45" t="n">
        <x:v>46</x:v>
      </x:c>
      <x:c r="K107" s="45" t="n">
        <x:v>81</x:v>
      </x:c>
      <x:c r="L107" s="51" t="str">
        <x:v>Фолликулярная лимфома</x:v>
      </x:c>
      <x:c r="M107" s="45" t="n">
        <x:v>9</x:v>
      </x:c>
      <x:c r="N107" s="33" t="str">
        <x:v>False</x:v>
      </x:c>
      <x:c r="O107" s="45" t="n">
        <x:v>2</x:v>
      </x:c>
    </x:row>
    <x:row r="108">
      <x:c r="A108" s="33" t="str">
        <x:v>II</x:v>
      </x:c>
      <x:c r="B108" s="33" t="str">
        <x:v>C81-C96</x:v>
      </x:c>
      <x:c r="C108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108" s="33" t="str">
        <x:v>C83</x:v>
      </x:c>
      <x:c r="E108" s="39" t="n">
        <x:v>75</x:v>
      </x:c>
      <x:c r="F108" s="45" t="n">
        <x:v>64</x:v>
      </x:c>
      <x:c r="G108" s="45" t="n">
        <x:v>53.5</x:v>
      </x:c>
      <x:c r="H108" s="45" t="n">
        <x:v>71</x:v>
      </x:c>
      <x:c r="I108" s="45" t="n">
        <x:v>62.49333333333333</x:v>
      </x:c>
      <x:c r="J108" s="45" t="n">
        <x:v>21</x:v>
      </x:c>
      <x:c r="K108" s="45" t="n">
        <x:v>86</x:v>
      </x:c>
      <x:c r="L108" s="51" t="str">
        <x:v>Диффузная В-крупноклеточная лимфома</x:v>
      </x:c>
      <x:c r="M108" s="45" t="n">
        <x:v>17.5</x:v>
      </x:c>
      <x:c r="N108" s="33" t="str">
        <x:v>False</x:v>
      </x:c>
      <x:c r="O108" s="45" t="n">
        <x:v>2</x:v>
      </x:c>
    </x:row>
    <x:row r="109">
      <x:c r="A109" s="33" t="str">
        <x:v>II</x:v>
      </x:c>
      <x:c r="B109" s="33" t="str">
        <x:v>C81-C96</x:v>
      </x:c>
      <x:c r="C109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109" s="33" t="str">
        <x:v>C84</x:v>
      </x:c>
      <x:c r="E109" s="39" t="n">
        <x:v>13</x:v>
      </x:c>
      <x:c r="F109" s="45" t="n">
        <x:v>61</x:v>
      </x:c>
      <x:c r="G109" s="45" t="n">
        <x:v>51</x:v>
      </x:c>
      <x:c r="H109" s="45" t="n">
        <x:v>65</x:v>
      </x:c>
      <x:c r="I109" s="45" t="n">
        <x:v>58.92307692307692</x:v>
      </x:c>
      <x:c r="J109" s="45" t="n">
        <x:v>34</x:v>
      </x:c>
      <x:c r="K109" s="45" t="n">
        <x:v>76</x:v>
      </x:c>
      <x:c r="L109" s="51" t="str">
        <x:v>Периферическая Т-клеточная лимфома, не классифицированная в других рубриках</x:v>
      </x:c>
      <x:c r="M109" s="45" t="n">
        <x:v>14</x:v>
      </x:c>
      <x:c r="N109" s="33" t="str">
        <x:v>False</x:v>
      </x:c>
      <x:c r="O109" s="45" t="n">
        <x:v>2</x:v>
      </x:c>
    </x:row>
    <x:row r="110">
      <x:c r="A110" s="33" t="str">
        <x:v>II</x:v>
      </x:c>
      <x:c r="B110" s="33" t="str">
        <x:v>C81-C96</x:v>
      </x:c>
      <x:c r="C110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110" s="33" t="str">
        <x:v>C85</x:v>
      </x:c>
      <x:c r="E110" s="39" t="n">
        <x:v>32</x:v>
      </x:c>
      <x:c r="F110" s="45" t="n">
        <x:v>68.5</x:v>
      </x:c>
      <x:c r="G110" s="45" t="n">
        <x:v>57.75</x:v>
      </x:c>
      <x:c r="H110" s="45" t="n">
        <x:v>73.5</x:v>
      </x:c>
      <x:c r="I110" s="45" t="n">
        <x:v>66.46875</x:v>
      </x:c>
      <x:c r="J110" s="45" t="n">
        <x:v>35</x:v>
      </x:c>
      <x:c r="K110" s="45" t="n">
        <x:v>93</x:v>
      </x:c>
      <x:c r="L110" s="51" t="str">
        <x:v>B-клеточная лимфома неуточненная</x:v>
      </x:c>
      <x:c r="M110" s="45" t="n">
        <x:v>15.75</x:v>
      </x:c>
      <x:c r="N110" s="33" t="str">
        <x:v>False</x:v>
      </x:c>
      <x:c r="O110" s="45" t="n">
        <x:v>2</x:v>
      </x:c>
    </x:row>
    <x:row r="111">
      <x:c r="A111" s="33" t="str">
        <x:v>II</x:v>
      </x:c>
      <x:c r="B111" s="33" t="str">
        <x:v>C81-C96</x:v>
      </x:c>
      <x:c r="C111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111" s="33" t="str">
        <x:v>C88</x:v>
      </x:c>
      <x:c r="E111" s="39" t="n">
        <x:v>2</x:v>
      </x:c>
      <x:c r="F111" s="45" t="n">
        <x:v>63</x:v>
      </x:c>
      <x:c r="G111" s="45" t="n">
        <x:v>57</x:v>
      </x:c>
      <x:c r="H111" s="45" t="n">
        <x:v>69</x:v>
      </x:c>
      <x:c r="I111" s="45" t="n">
        <x:v>63</x:v>
      </x:c>
      <x:c r="J111" s="45" t="n">
        <x:v>51</x:v>
      </x:c>
      <x:c r="K111" s="45" t="n">
        <x:v>75</x:v>
      </x:c>
      <x:c r="L111" s="51" t="str">
        <x:v>Макроглобулинемия Вальденстрема</x:v>
      </x:c>
      <x:c r="M111" s="45" t="n">
        <x:v>12</x:v>
      </x:c>
      <x:c r="N111" s="33" t="str">
        <x:v>True</x:v>
      </x:c>
      <x:c r="O111" s="45" t="n">
        <x:v>2</x:v>
      </x:c>
    </x:row>
    <x:row r="112">
      <x:c r="A112" s="33" t="str">
        <x:v>II</x:v>
      </x:c>
      <x:c r="B112" s="33" t="str">
        <x:v>C81-C96</x:v>
      </x:c>
      <x:c r="C112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112" s="33" t="str">
        <x:v>C90</x:v>
      </x:c>
      <x:c r="E112" s="39" t="n">
        <x:v>86</x:v>
      </x:c>
      <x:c r="F112" s="45" t="n">
        <x:v>69.5</x:v>
      </x:c>
      <x:c r="G112" s="45" t="n">
        <x:v>63</x:v>
      </x:c>
      <x:c r="H112" s="45" t="n">
        <x:v>74.75</x:v>
      </x:c>
      <x:c r="I112" s="45" t="n">
        <x:v>68.03488372093024</x:v>
      </x:c>
      <x:c r="J112" s="45" t="n">
        <x:v>41</x:v>
      </x:c>
      <x:c r="K112" s="45" t="n">
        <x:v>88</x:v>
      </x:c>
      <x:c r="L112" s="51" t="str">
        <x:v>Множественная миелома</x:v>
      </x:c>
      <x:c r="M112" s="45" t="n">
        <x:v>11.75</x:v>
      </x:c>
      <x:c r="N112" s="33" t="str">
        <x:v>False</x:v>
      </x:c>
      <x:c r="O112" s="45" t="n">
        <x:v>2</x:v>
      </x:c>
    </x:row>
    <x:row r="113">
      <x:c r="A113" s="33" t="str">
        <x:v>II</x:v>
      </x:c>
      <x:c r="B113" s="33" t="str">
        <x:v>C81-C96</x:v>
      </x:c>
      <x:c r="C113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113" s="33" t="str">
        <x:v>C91</x:v>
      </x:c>
      <x:c r="E113" s="39" t="n">
        <x:v>76</x:v>
      </x:c>
      <x:c r="F113" s="45" t="n">
        <x:v>69</x:v>
      </x:c>
      <x:c r="G113" s="45" t="n">
        <x:v>57.75</x:v>
      </x:c>
      <x:c r="H113" s="45" t="n">
        <x:v>77</x:v>
      </x:c>
      <x:c r="I113" s="45" t="n">
        <x:v>63.96052631578947</x:v>
      </x:c>
      <x:c r="J113" s="45" t="n">
        <x:v>10</x:v>
      </x:c>
      <x:c r="K113" s="45" t="n">
        <x:v>90</x:v>
      </x:c>
      <x:c r="L113" s="51" t="str">
        <x:v>В-клеточный хронический лимфоцитарный лейкоз</x:v>
      </x:c>
      <x:c r="M113" s="45" t="n">
        <x:v>19.25</x:v>
      </x:c>
      <x:c r="N113" s="33" t="str">
        <x:v>False</x:v>
      </x:c>
      <x:c r="O113" s="45" t="n">
        <x:v>2</x:v>
      </x:c>
    </x:row>
    <x:row r="114">
      <x:c r="A114" s="33" t="str">
        <x:v>II</x:v>
      </x:c>
      <x:c r="B114" s="33" t="str">
        <x:v>C81-C96</x:v>
      </x:c>
      <x:c r="C114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114" s="33" t="str">
        <x:v>C92</x:v>
      </x:c>
      <x:c r="E114" s="39" t="n">
        <x:v>87</x:v>
      </x:c>
      <x:c r="F114" s="45" t="n">
        <x:v>68</x:v>
      </x:c>
      <x:c r="G114" s="45" t="n">
        <x:v>60.5</x:v>
      </x:c>
      <x:c r="H114" s="45" t="n">
        <x:v>74</x:v>
      </x:c>
      <x:c r="I114" s="45" t="n">
        <x:v>65.64367816091954</x:v>
      </x:c>
      <x:c r="J114" s="45" t="n">
        <x:v>28</x:v>
      </x:c>
      <x:c r="K114" s="45" t="n">
        <x:v>90</x:v>
      </x:c>
      <x:c r="L114" s="51" t="str">
        <x:v>Острый миелобластный лейкоз [ОМЛ]</x:v>
      </x:c>
      <x:c r="M114" s="45" t="n">
        <x:v>13.5</x:v>
      </x:c>
      <x:c r="N114" s="33" t="str">
        <x:v>False</x:v>
      </x:c>
      <x:c r="O114" s="45" t="n">
        <x:v>2</x:v>
      </x:c>
    </x:row>
    <x:row r="115">
      <x:c r="A115" s="33" t="str">
        <x:v>II</x:v>
      </x:c>
      <x:c r="B115" s="33" t="str">
        <x:v>C81-C96</x:v>
      </x:c>
      <x:c r="C115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115" s="33" t="str">
        <x:v>C93</x:v>
      </x:c>
      <x:c r="E115" s="39" t="n">
        <x:v>16</x:v>
      </x:c>
      <x:c r="F115" s="45" t="n">
        <x:v>62</x:v>
      </x:c>
      <x:c r="G115" s="45" t="n">
        <x:v>57.5</x:v>
      </x:c>
      <x:c r="H115" s="45" t="n">
        <x:v>69.75</x:v>
      </x:c>
      <x:c r="I115" s="45" t="n">
        <x:v>62.75</x:v>
      </x:c>
      <x:c r="J115" s="45" t="n">
        <x:v>36</x:v>
      </x:c>
      <x:c r="K115" s="45" t="n">
        <x:v>85</x:v>
      </x:c>
      <x:c r="L115" s="51" t="str">
        <x:v>Острый монобластный/моноцитарный лейкоз</x:v>
      </x:c>
      <x:c r="M115" s="45" t="n">
        <x:v>12.25</x:v>
      </x:c>
      <x:c r="N115" s="33" t="str">
        <x:v>False</x:v>
      </x:c>
      <x:c r="O115" s="45" t="n">
        <x:v>2</x:v>
      </x:c>
    </x:row>
    <x:row r="116">
      <x:c r="A116" s="33" t="str">
        <x:v>II</x:v>
      </x:c>
      <x:c r="B116" s="33" t="str">
        <x:v>C81-C96</x:v>
      </x:c>
      <x:c r="C116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116" s="33" t="str">
        <x:v>C94</x:v>
      </x:c>
      <x:c r="E116" s="39" t="n">
        <x:v>11</x:v>
      </x:c>
      <x:c r="F116" s="45" t="n">
        <x:v>68</x:v>
      </x:c>
      <x:c r="G116" s="45" t="n">
        <x:v>59.5</x:v>
      </x:c>
      <x:c r="H116" s="45" t="n">
        <x:v>69.5</x:v>
      </x:c>
      <x:c r="I116" s="45" t="n">
        <x:v>64.63636363636364</x:v>
      </x:c>
      <x:c r="J116" s="45" t="n">
        <x:v>41</x:v>
      </x:c>
      <x:c r="K116" s="45" t="n">
        <x:v>78</x:v>
      </x:c>
      <x:c r="L116" s="51" t="str">
        <x:v>Острый моноцитарный лейкоз</x:v>
      </x:c>
      <x:c r="M116" s="45" t="n">
        <x:v>10</x:v>
      </x:c>
      <x:c r="N116" s="33" t="str">
        <x:v>False</x:v>
      </x:c>
      <x:c r="O116" s="45" t="n">
        <x:v>2</x:v>
      </x:c>
    </x:row>
    <x:row r="117">
      <x:c r="A117" s="33" t="str">
        <x:v>II</x:v>
      </x:c>
      <x:c r="B117" s="33" t="str">
        <x:v>C81-C96</x:v>
      </x:c>
      <x:c r="C117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117" s="33" t="str">
        <x:v>C95</x:v>
      </x:c>
      <x:c r="E117" s="39" t="n">
        <x:v>11</x:v>
      </x:c>
      <x:c r="F117" s="45" t="n">
        <x:v>71</x:v>
      </x:c>
      <x:c r="G117" s="45" t="n">
        <x:v>66.5</x:v>
      </x:c>
      <x:c r="H117" s="45" t="n">
        <x:v>80.5</x:v>
      </x:c>
      <x:c r="I117" s="45" t="n">
        <x:v>71.81818181818181</x:v>
      </x:c>
      <x:c r="J117" s="45" t="n">
        <x:v>51</x:v>
      </x:c>
      <x:c r="K117" s="45" t="n">
        <x:v>86</x:v>
      </x:c>
      <x:c r="L117" s="51" t="str">
        <x:v>Острый лейкоз неуточненного клеточного типа</x:v>
      </x:c>
      <x:c r="M117" s="45" t="n">
        <x:v>14</x:v>
      </x:c>
      <x:c r="N117" s="33" t="str">
        <x:v>False</x:v>
      </x:c>
      <x:c r="O117" s="45" t="n">
        <x:v>2</x:v>
      </x:c>
    </x:row>
    <x:row r="118">
      <x:c r="A118" s="33" t="str">
        <x:v>II</x:v>
      </x:c>
      <x:c r="B118" s="33" t="str">
        <x:v>C81-C96</x:v>
      </x:c>
      <x:c r="C118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118" s="33" t="str">
        <x:v>C96</x:v>
      </x:c>
      <x:c r="E118" s="39" t="n">
        <x:v>2</x:v>
      </x:c>
      <x:c r="F118" s="45" t="n">
        <x:v>56.5</x:v>
      </x:c>
      <x:c r="G118" s="45" t="n">
        <x:v>39.75</x:v>
      </x:c>
      <x:c r="H118" s="45" t="n">
        <x:v>73.25</x:v>
      </x:c>
      <x:c r="I118" s="45" t="n">
        <x:v>56.5</x:v>
      </x:c>
      <x:c r="J118" s="45" t="n">
        <x:v>23</x:v>
      </x:c>
      <x:c r="K118" s="45" t="n">
        <x:v>90</x:v>
      </x:c>
      <x:c r="L118" s="51" t="str">
        <x:v>Злокачественное новообразование лимфоидной ткани</x:v>
      </x:c>
      <x:c r="M118" s="45" t="n">
        <x:v>33.5</x:v>
      </x:c>
      <x:c r="N118" s="33" t="str">
        <x:v>True</x:v>
      </x:c>
      <x:c r="O118" s="45" t="n">
        <x:v>2</x:v>
      </x:c>
    </x:row>
    <x:row r="119">
      <x:c r="A119" s="33" t="str">
        <x:v>II</x:v>
      </x:c>
      <x:c r="B119" s="33" t="str">
        <x:v>C97-C97</x:v>
      </x:c>
      <x:c r="C119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119" s="33" t="str">
        <x:v>C97</x:v>
      </x:c>
      <x:c r="E119" s="39" t="n">
        <x:v>110</x:v>
      </x:c>
      <x:c r="F119" s="45" t="n">
        <x:v>71</x:v>
      </x:c>
      <x:c r="G119" s="45" t="n">
        <x:v>65</x:v>
      </x:c>
      <x:c r="H119" s="45" t="n">
        <x:v>77</x:v>
      </x:c>
      <x:c r="I119" s="45" t="n">
        <x:v>69.86363636363636</x:v>
      </x:c>
      <x:c r="J119" s="45" t="n">
        <x:v>27</x:v>
      </x:c>
      <x:c r="K119" s="45" t="n">
        <x:v>90</x:v>
      </x:c>
      <x:c r="L119" s="51" t="str">
        <x:v>Злокачественное новообразование самостоятельных (первичных) множественных локализаций</x:v>
      </x:c>
      <x:c r="M119" s="45" t="n">
        <x:v>12</x:v>
      </x:c>
      <x:c r="N119" s="33" t="str">
        <x:v>False</x:v>
      </x:c>
      <x:c r="O119" s="45" t="n">
        <x:v>2</x:v>
      </x:c>
    </x:row>
    <x:row r="120">
      <x:c r="A120" s="33" t="str">
        <x:v>II</x:v>
      </x:c>
      <x:c r="B120" s="33" t="str">
        <x:v>D10-D36</x:v>
      </x:c>
      <x:c r="C120" s="51" t="str">
        <x:v>Доброкачественные новообразования</x:v>
      </x:c>
      <x:c r="D120" s="33" t="str">
        <x:v>D10</x:v>
      </x:c>
      <x:c r="E120" s="39" t="n">
        <x:v>1</x:v>
      </x:c>
      <x:c r="F120" s="45" t="n">
        <x:v>71</x:v>
      </x:c>
      <x:c r="G120" s="45" t="n">
        <x:v>71</x:v>
      </x:c>
      <x:c r="H120" s="45" t="n">
        <x:v>71</x:v>
      </x:c>
      <x:c r="I120" s="45" t="n">
        <x:v>71</x:v>
      </x:c>
      <x:c r="J120" s="45" t="n">
        <x:v>71</x:v>
      </x:c>
      <x:c r="K120" s="45" t="n">
        <x:v>71</x:v>
      </x:c>
      <x:c r="L120" s="51" t="str">
        <x:v>Доброкачественное новообразование гортаноглотки</x:v>
      </x:c>
      <x:c r="M120" s="45" t="n">
        <x:v>0</x:v>
      </x:c>
      <x:c r="N120" s="33" t="str">
        <x:v>True</x:v>
      </x:c>
      <x:c r="O120" s="45" t="n">
        <x:v>2</x:v>
      </x:c>
    </x:row>
    <x:row r="121">
      <x:c r="A121" s="33" t="str">
        <x:v>II</x:v>
      </x:c>
      <x:c r="B121" s="33" t="str">
        <x:v>D10-D36</x:v>
      </x:c>
      <x:c r="C121" s="51" t="str">
        <x:v>Доброкачественные новообразования</x:v>
      </x:c>
      <x:c r="D121" s="33" t="str">
        <x:v>D12</x:v>
      </x:c>
      <x:c r="E121" s="39" t="n">
        <x:v>2</x:v>
      </x:c>
      <x:c r="F121" s="45" t="n">
        <x:v>77</x:v>
      </x:c>
      <x:c r="G121" s="45" t="n">
        <x:v>75</x:v>
      </x:c>
      <x:c r="H121" s="45" t="n">
        <x:v>79</x:v>
      </x:c>
      <x:c r="I121" s="45" t="n">
        <x:v>77</x:v>
      </x:c>
      <x:c r="J121" s="45" t="n">
        <x:v>73</x:v>
      </x:c>
      <x:c r="K121" s="45" t="n">
        <x:v>81</x:v>
      </x:c>
      <x:c r="L121" s="51" t="str">
        <x:v>Доброкачественное новообразование нисходящей ободочной кишки</x:v>
      </x:c>
      <x:c r="M121" s="45" t="n">
        <x:v>4</x:v>
      </x:c>
      <x:c r="N121" s="33" t="str">
        <x:v>True</x:v>
      </x:c>
      <x:c r="O121" s="45" t="n">
        <x:v>2</x:v>
      </x:c>
    </x:row>
    <x:row r="122">
      <x:c r="A122" s="33" t="str">
        <x:v>II</x:v>
      </x:c>
      <x:c r="B122" s="33" t="str">
        <x:v>D10-D36</x:v>
      </x:c>
      <x:c r="C122" s="51" t="str">
        <x:v>Доброкачественные новообразования</x:v>
      </x:c>
      <x:c r="D122" s="33" t="str">
        <x:v>D13</x:v>
      </x:c>
      <x:c r="E122" s="39" t="n">
        <x:v>4</x:v>
      </x:c>
      <x:c r="F122" s="45" t="n">
        <x:v>84.5</x:v>
      </x:c>
      <x:c r="G122" s="45" t="n">
        <x:v>80.25</x:v>
      </x:c>
      <x:c r="H122" s="45" t="n">
        <x:v>86.25</x:v>
      </x:c>
      <x:c r="I122" s="45" t="n">
        <x:v>82</x:v>
      </x:c>
      <x:c r="J122" s="45" t="n">
        <x:v>69</x:v>
      </x:c>
      <x:c r="K122" s="45" t="n">
        <x:v>90</x:v>
      </x:c>
      <x:c r="L122" s="51" t="str">
        <x:v>Доброкачественное новообразование двенадцатиперстной кишки</x:v>
      </x:c>
      <x:c r="M122" s="45" t="n">
        <x:v>6</x:v>
      </x:c>
      <x:c r="N122" s="33" t="str">
        <x:v>True</x:v>
      </x:c>
      <x:c r="O122" s="45" t="n">
        <x:v>2</x:v>
      </x:c>
    </x:row>
    <x:row r="123">
      <x:c r="A123" s="33" t="str">
        <x:v>II</x:v>
      </x:c>
      <x:c r="B123" s="33" t="str">
        <x:v>D10-D36</x:v>
      </x:c>
      <x:c r="C123" s="51" t="str">
        <x:v>Доброкачественные новообразования</x:v>
      </x:c>
      <x:c r="D123" s="33" t="str">
        <x:v>D15</x:v>
      </x:c>
      <x:c r="E123" s="39" t="n">
        <x:v>2</x:v>
      </x:c>
      <x:c r="F123" s="45" t="n">
        <x:v>59</x:v>
      </x:c>
      <x:c r="G123" s="45" t="n">
        <x:v>54.5</x:v>
      </x:c>
      <x:c r="H123" s="45" t="n">
        <x:v>63.5</x:v>
      </x:c>
      <x:c r="I123" s="45" t="n">
        <x:v>59</x:v>
      </x:c>
      <x:c r="J123" s="45" t="n">
        <x:v>50</x:v>
      </x:c>
      <x:c r="K123" s="45" t="n">
        <x:v>68</x:v>
      </x:c>
      <x:c r="L123" s="51" t="str">
        <x:v>Доброкачественное новообразование сердца</x:v>
      </x:c>
      <x:c r="M123" s="45" t="n">
        <x:v>9</x:v>
      </x:c>
      <x:c r="N123" s="33" t="str">
        <x:v>True</x:v>
      </x:c>
      <x:c r="O123" s="45" t="n">
        <x:v>2</x:v>
      </x:c>
    </x:row>
    <x:row r="124">
      <x:c r="A124" s="33" t="str">
        <x:v>II</x:v>
      </x:c>
      <x:c r="B124" s="33" t="str">
        <x:v>D10-D36</x:v>
      </x:c>
      <x:c r="C124" s="51" t="str">
        <x:v>Доброкачественные новообразования</x:v>
      </x:c>
      <x:c r="D124" s="33" t="str">
        <x:v>D16</x:v>
      </x:c>
      <x:c r="E124" s="39" t="n">
        <x:v>1</x:v>
      </x:c>
      <x:c r="F124" s="45" t="n">
        <x:v>68</x:v>
      </x:c>
      <x:c r="G124" s="45" t="n">
        <x:v>68</x:v>
      </x:c>
      <x:c r="H124" s="45" t="n">
        <x:v>68</x:v>
      </x:c>
      <x:c r="I124" s="45" t="n">
        <x:v>68</x:v>
      </x:c>
      <x:c r="J124" s="45" t="n">
        <x:v>68</x:v>
      </x:c>
      <x:c r="K124" s="45" t="n">
        <x:v>68</x:v>
      </x:c>
      <x:c r="L124" s="51" t="str">
        <x:v>Доброкачественное новообразование костей черепа</x:v>
      </x:c>
      <x:c r="M124" s="45" t="n">
        <x:v>0</x:v>
      </x:c>
      <x:c r="N124" s="33" t="str">
        <x:v>True</x:v>
      </x:c>
      <x:c r="O124" s="45" t="n">
        <x:v>2</x:v>
      </x:c>
    </x:row>
    <x:row r="125">
      <x:c r="A125" s="33" t="str">
        <x:v>II</x:v>
      </x:c>
      <x:c r="B125" s="33" t="str">
        <x:v>D10-D36</x:v>
      </x:c>
      <x:c r="C125" s="51" t="str">
        <x:v>Доброкачественные новообразования</x:v>
      </x:c>
      <x:c r="D125" s="33" t="str">
        <x:v>D17</x:v>
      </x:c>
      <x:c r="E125" s="39" t="n">
        <x:v>1</x:v>
      </x:c>
      <x:c r="F125" s="45" t="n">
        <x:v>74</x:v>
      </x:c>
      <x:c r="G125" s="45" t="n">
        <x:v>74</x:v>
      </x:c>
      <x:c r="H125" s="45" t="n">
        <x:v>74</x:v>
      </x:c>
      <x:c r="I125" s="45" t="n">
        <x:v>74</x:v>
      </x:c>
      <x:c r="J125" s="45" t="n">
        <x:v>74</x:v>
      </x:c>
      <x:c r="K125" s="45" t="n">
        <x:v>74</x:v>
      </x:c>
      <x:c r="L125" s="51" t="str">
        <x:v>Доброкачественное новообразование жировой ткани органов грудной клетки</x:v>
      </x:c>
      <x:c r="M125" s="45" t="n">
        <x:v>0</x:v>
      </x:c>
      <x:c r="N125" s="33" t="str">
        <x:v>True</x:v>
      </x:c>
      <x:c r="O125" s="45" t="n">
        <x:v>2</x:v>
      </x:c>
    </x:row>
    <x:row r="126">
      <x:c r="A126" s="33" t="str">
        <x:v>II</x:v>
      </x:c>
      <x:c r="B126" s="33" t="str">
        <x:v>D10-D36</x:v>
      </x:c>
      <x:c r="C126" s="51" t="str">
        <x:v>Доброкачественные новообразования</x:v>
      </x:c>
      <x:c r="D126" s="33" t="str">
        <x:v>D18</x:v>
      </x:c>
      <x:c r="E126" s="39" t="n">
        <x:v>3</x:v>
      </x:c>
      <x:c r="F126" s="45" t="n">
        <x:v>56</x:v>
      </x:c>
      <x:c r="G126" s="45" t="n">
        <x:v>56</x:v>
      </x:c>
      <x:c r="H126" s="45" t="n">
        <x:v>60.5</x:v>
      </x:c>
      <x:c r="I126" s="45" t="n">
        <x:v>59</x:v>
      </x:c>
      <x:c r="J126" s="45" t="n">
        <x:v>56</x:v>
      </x:c>
      <x:c r="K126" s="45" t="n">
        <x:v>65</x:v>
      </x:c>
      <x:c r="L126" s="51" t="str">
        <x:v>Гемангиома любой локализации</x:v>
      </x:c>
      <x:c r="M126" s="45" t="n">
        <x:v>4.5</x:v>
      </x:c>
      <x:c r="N126" s="33" t="str">
        <x:v>True</x:v>
      </x:c>
      <x:c r="O126" s="45" t="n">
        <x:v>2</x:v>
      </x:c>
    </x:row>
    <x:row r="127">
      <x:c r="A127" s="33" t="str">
        <x:v>II</x:v>
      </x:c>
      <x:c r="B127" s="33" t="str">
        <x:v>D10-D36</x:v>
      </x:c>
      <x:c r="C127" s="51" t="str">
        <x:v>Доброкачественные новообразования</x:v>
      </x:c>
      <x:c r="D127" s="33" t="str">
        <x:v>D25</x:v>
      </x:c>
      <x:c r="E127" s="39" t="n">
        <x:v>7</x:v>
      </x:c>
      <x:c r="F127" s="45" t="n">
        <x:v>62</x:v>
      </x:c>
      <x:c r="G127" s="45" t="n">
        <x:v>51.5</x:v>
      </x:c>
      <x:c r="H127" s="45" t="n">
        <x:v>67.5</x:v>
      </x:c>
      <x:c r="I127" s="45" t="n">
        <x:v>60.285714285714285</x:v>
      </x:c>
      <x:c r="J127" s="45" t="n">
        <x:v>51</x:v>
      </x:c>
      <x:c r="K127" s="45" t="n">
        <x:v>71</x:v>
      </x:c>
      <x:c r="L127" s="51" t="str">
        <x:v>Интрамуральная лейомиома матки</x:v>
      </x:c>
      <x:c r="M127" s="45" t="n">
        <x:v>16</x:v>
      </x:c>
      <x:c r="N127" s="33" t="str">
        <x:v>False</x:v>
      </x:c>
      <x:c r="O127" s="45" t="n">
        <x:v>2</x:v>
      </x:c>
    </x:row>
    <x:row r="128">
      <x:c r="A128" s="33" t="str">
        <x:v>II</x:v>
      </x:c>
      <x:c r="B128" s="33" t="str">
        <x:v>D10-D36</x:v>
      </x:c>
      <x:c r="C128" s="51" t="str">
        <x:v>Доброкачественные новообразования</x:v>
      </x:c>
      <x:c r="D128" s="33" t="str">
        <x:v>D27</x:v>
      </x:c>
      <x:c r="E128" s="39" t="n">
        <x:v>3</x:v>
      </x:c>
      <x:c r="F128" s="45" t="n">
        <x:v>60</x:v>
      </x:c>
      <x:c r="G128" s="45" t="n">
        <x:v>53.5</x:v>
      </x:c>
      <x:c r="H128" s="45" t="n">
        <x:v>66.5</x:v>
      </x:c>
      <x:c r="I128" s="45" t="n">
        <x:v>60</x:v>
      </x:c>
      <x:c r="J128" s="45" t="n">
        <x:v>47</x:v>
      </x:c>
      <x:c r="K128" s="45" t="n">
        <x:v>73</x:v>
      </x:c>
      <x:c r="L128" s="51" t="str">
        <x:v>Доброкачественное новообразование яичника</x:v>
      </x:c>
      <x:c r="M128" s="45" t="n">
        <x:v>13</x:v>
      </x:c>
      <x:c r="N128" s="33" t="str">
        <x:v>True</x:v>
      </x:c>
      <x:c r="O128" s="45" t="n">
        <x:v>2</x:v>
      </x:c>
    </x:row>
    <x:row r="129">
      <x:c r="A129" s="33" t="str">
        <x:v>II</x:v>
      </x:c>
      <x:c r="B129" s="33" t="str">
        <x:v>D10-D36</x:v>
      </x:c>
      <x:c r="C129" s="51" t="str">
        <x:v>Доброкачественные новообразования</x:v>
      </x:c>
      <x:c r="D129" s="33" t="str">
        <x:v>D29</x:v>
      </x:c>
      <x:c r="E129" s="39" t="n">
        <x:v>1</x:v>
      </x:c>
      <x:c r="F129" s="45" t="n">
        <x:v>76</x:v>
      </x:c>
      <x:c r="G129" s="45" t="n">
        <x:v>76</x:v>
      </x:c>
      <x:c r="H129" s="45" t="n">
        <x:v>76</x:v>
      </x:c>
      <x:c r="I129" s="45" t="n">
        <x:v>76</x:v>
      </x:c>
      <x:c r="J129" s="45" t="n">
        <x:v>76</x:v>
      </x:c>
      <x:c r="K129" s="45" t="n">
        <x:v>76</x:v>
      </x:c>
      <x:c r="L129" s="51" t="str">
        <x:v>Доброкачественное новообразование предстательной железы</x:v>
      </x:c>
      <x:c r="M129" s="45" t="n">
        <x:v>0</x:v>
      </x:c>
      <x:c r="N129" s="33" t="str">
        <x:v>True</x:v>
      </x:c>
      <x:c r="O129" s="45" t="n">
        <x:v>2</x:v>
      </x:c>
    </x:row>
    <x:row r="130">
      <x:c r="A130" s="33" t="str">
        <x:v>II</x:v>
      </x:c>
      <x:c r="B130" s="33" t="str">
        <x:v>D10-D36</x:v>
      </x:c>
      <x:c r="C130" s="51" t="str">
        <x:v>Доброкачественные новообразования</x:v>
      </x:c>
      <x:c r="D130" s="33" t="str">
        <x:v>D30</x:v>
      </x:c>
      <x:c r="E130" s="39" t="n">
        <x:v>2</x:v>
      </x:c>
      <x:c r="F130" s="45" t="n">
        <x:v>85.5</x:v>
      </x:c>
      <x:c r="G130" s="45" t="n">
        <x:v>82.75</x:v>
      </x:c>
      <x:c r="H130" s="45" t="n">
        <x:v>88.25</x:v>
      </x:c>
      <x:c r="I130" s="45" t="n">
        <x:v>85.5</x:v>
      </x:c>
      <x:c r="J130" s="45" t="n">
        <x:v>80</x:v>
      </x:c>
      <x:c r="K130" s="45" t="n">
        <x:v>91</x:v>
      </x:c>
      <x:c r="L130" s="51" t="str">
        <x:v>Доброкачественное новообразование мочевого пузыря</x:v>
      </x:c>
      <x:c r="M130" s="45" t="n">
        <x:v>5.5</x:v>
      </x:c>
      <x:c r="N130" s="33" t="str">
        <x:v>True</x:v>
      </x:c>
      <x:c r="O130" s="45" t="n">
        <x:v>2</x:v>
      </x:c>
    </x:row>
    <x:row r="131">
      <x:c r="A131" s="33" t="str">
        <x:v>II</x:v>
      </x:c>
      <x:c r="B131" s="33" t="str">
        <x:v>D10-D36</x:v>
      </x:c>
      <x:c r="C131" s="51" t="str">
        <x:v>Доброкачественные новообразования</x:v>
      </x:c>
      <x:c r="D131" s="33" t="str">
        <x:v>D32</x:v>
      </x:c>
      <x:c r="E131" s="39" t="n">
        <x:v>36</x:v>
      </x:c>
      <x:c r="F131" s="45" t="n">
        <x:v>72</x:v>
      </x:c>
      <x:c r="G131" s="45" t="n">
        <x:v>62.75</x:v>
      </x:c>
      <x:c r="H131" s="45" t="n">
        <x:v>79</x:v>
      </x:c>
      <x:c r="I131" s="45" t="n">
        <x:v>71.72222222222223</x:v>
      </x:c>
      <x:c r="J131" s="45" t="n">
        <x:v>54</x:v>
      </x:c>
      <x:c r="K131" s="45" t="n">
        <x:v>92</x:v>
      </x:c>
      <x:c r="L131" s="51" t="str">
        <x:v>Доброкачественное новообразование оболочек головного мозга</x:v>
      </x:c>
      <x:c r="M131" s="45" t="n">
        <x:v>16.25</x:v>
      </x:c>
      <x:c r="N131" s="33" t="str">
        <x:v>False</x:v>
      </x:c>
      <x:c r="O131" s="45" t="n">
        <x:v>2</x:v>
      </x:c>
    </x:row>
    <x:row r="132">
      <x:c r="A132" s="33" t="str">
        <x:v>II</x:v>
      </x:c>
      <x:c r="B132" s="33" t="str">
        <x:v>D10-D36</x:v>
      </x:c>
      <x:c r="C132" s="51" t="str">
        <x:v>Доброкачественные новообразования</x:v>
      </x:c>
      <x:c r="D132" s="33" t="str">
        <x:v>D33</x:v>
      </x:c>
      <x:c r="E132" s="39" t="n">
        <x:v>14</x:v>
      </x:c>
      <x:c r="F132" s="45" t="n">
        <x:v>65</x:v>
      </x:c>
      <x:c r="G132" s="45" t="n">
        <x:v>62</x:v>
      </x:c>
      <x:c r="H132" s="45" t="n">
        <x:v>68.75</x:v>
      </x:c>
      <x:c r="I132" s="45" t="n">
        <x:v>65.21428571428571</x:v>
      </x:c>
      <x:c r="J132" s="45" t="n">
        <x:v>44</x:v>
      </x:c>
      <x:c r="K132" s="45" t="n">
        <x:v>93</x:v>
      </x:c>
      <x:c r="L132" s="51" t="str">
        <x:v>Доброкачественное новообразование головного мозга</x:v>
      </x:c>
      <x:c r="M132" s="45" t="n">
        <x:v>6.75</x:v>
      </x:c>
      <x:c r="N132" s="33" t="str">
        <x:v>False</x:v>
      </x:c>
      <x:c r="O132" s="45" t="n">
        <x:v>2</x:v>
      </x:c>
    </x:row>
    <x:row r="133">
      <x:c r="A133" s="33" t="str">
        <x:v>II</x:v>
      </x:c>
      <x:c r="B133" s="33" t="str">
        <x:v>D10-D36</x:v>
      </x:c>
      <x:c r="C133" s="51" t="str">
        <x:v>Доброкачественные новообразования</x:v>
      </x:c>
      <x:c r="D133" s="33" t="str">
        <x:v>D35</x:v>
      </x:c>
      <x:c r="E133" s="39" t="n">
        <x:v>9</x:v>
      </x:c>
      <x:c r="F133" s="45" t="n">
        <x:v>65</x:v>
      </x:c>
      <x:c r="G133" s="45" t="n">
        <x:v>44</x:v>
      </x:c>
      <x:c r="H133" s="45" t="n">
        <x:v>75</x:v>
      </x:c>
      <x:c r="I133" s="45" t="n">
        <x:v>61</x:v>
      </x:c>
      <x:c r="J133" s="45" t="n">
        <x:v>39</x:v>
      </x:c>
      <x:c r="K133" s="45" t="n">
        <x:v>84</x:v>
      </x:c>
      <x:c r="L133" s="51" t="str">
        <x:v>Доброкачественное новообразование гипофиза</x:v>
      </x:c>
      <x:c r="M133" s="45" t="n">
        <x:v>31</x:v>
      </x:c>
      <x:c r="N133" s="33" t="str">
        <x:v>False</x:v>
      </x:c>
      <x:c r="O133" s="45" t="n">
        <x:v>2</x:v>
      </x:c>
    </x:row>
    <x:row r="134">
      <x:c r="A134" s="33" t="str">
        <x:v>II</x:v>
      </x:c>
      <x:c r="B134" s="33" t="str">
        <x:v>D10-D36</x:v>
      </x:c>
      <x:c r="C134" s="51" t="str">
        <x:v>Доброкачественные новообразования</x:v>
      </x:c>
      <x:c r="D134" s="33" t="str">
        <x:v>D36</x:v>
      </x:c>
      <x:c r="E134" s="39" t="n">
        <x:v>1</x:v>
      </x:c>
      <x:c r="F134" s="45" t="n">
        <x:v>69</x:v>
      </x:c>
      <x:c r="G134" s="45" t="n">
        <x:v>69</x:v>
      </x:c>
      <x:c r="H134" s="45" t="n">
        <x:v>69</x:v>
      </x:c>
      <x:c r="I134" s="45" t="n">
        <x:v>69</x:v>
      </x:c>
      <x:c r="J134" s="45" t="n">
        <x:v>69</x:v>
      </x:c>
      <x:c r="K134" s="45" t="n">
        <x:v>69</x:v>
      </x:c>
      <x:c r="L134" s="51" t="str">
        <x:v>Доброкачественное новообразование периферических нервов</x:v>
      </x:c>
      <x:c r="M134" s="45" t="n">
        <x:v>0</x:v>
      </x:c>
      <x:c r="N134" s="33" t="str">
        <x:v>True</x:v>
      </x:c>
      <x:c r="O134" s="45" t="n">
        <x:v>2</x:v>
      </x:c>
    </x:row>
    <x:row r="135">
      <x:c r="A135" s="33" t="str">
        <x:v>II</x:v>
      </x:c>
      <x:c r="B135" s="33" t="str">
        <x:v>D37-D48</x:v>
      </x:c>
      <x:c r="C135" s="51" t="str">
        <x:v>Новообразования неопределенного или неизвестного характера</x:v>
      </x:c>
      <x:c r="D135" s="33" t="str">
        <x:v>D37</x:v>
      </x:c>
      <x:c r="E135" s="39" t="n">
        <x:v>8</x:v>
      </x:c>
      <x:c r="F135" s="45" t="n">
        <x:v>71</x:v>
      </x:c>
      <x:c r="G135" s="45" t="n">
        <x:v>61.5</x:v>
      </x:c>
      <x:c r="H135" s="45" t="n">
        <x:v>79</x:v>
      </x:c>
      <x:c r="I135" s="45" t="n">
        <x:v>70.125</x:v>
      </x:c>
      <x:c r="J135" s="45" t="n">
        <x:v>51</x:v>
      </x:c>
      <x:c r="K135" s="45" t="n">
        <x:v>86</x:v>
      </x:c>
      <x:c r="L135" s="51" t="str">
        <x:v>Новообразование неопределенного поведения поджелудочной железы</x:v>
      </x:c>
      <x:c r="M135" s="45" t="n">
        <x:v>17.5</x:v>
      </x:c>
      <x:c r="N135" s="33" t="str">
        <x:v>False</x:v>
      </x:c>
      <x:c r="O135" s="45" t="n">
        <x:v>2</x:v>
      </x:c>
    </x:row>
    <x:row r="136">
      <x:c r="A136" s="33" t="str">
        <x:v>II</x:v>
      </x:c>
      <x:c r="B136" s="33" t="str">
        <x:v>D37-D48</x:v>
      </x:c>
      <x:c r="C136" s="51" t="str">
        <x:v>Новообразования неопределенного или неизвестного характера</x:v>
      </x:c>
      <x:c r="D136" s="33" t="str">
        <x:v>D38</x:v>
      </x:c>
      <x:c r="E136" s="39" t="n">
        <x:v>3</x:v>
      </x:c>
      <x:c r="F136" s="45" t="n">
        <x:v>66</x:v>
      </x:c>
      <x:c r="G136" s="45" t="n">
        <x:v>64</x:v>
      </x:c>
      <x:c r="H136" s="45" t="n">
        <x:v>70.5</x:v>
      </x:c>
      <x:c r="I136" s="45" t="n">
        <x:v>67.66666666666667</x:v>
      </x:c>
      <x:c r="J136" s="45" t="n">
        <x:v>62</x:v>
      </x:c>
      <x:c r="K136" s="45" t="n">
        <x:v>75</x:v>
      </x:c>
      <x:c r="L136" s="51" t="str">
        <x:v>Новообразование неопределенного поведения трахеи</x:v>
      </x:c>
      <x:c r="M136" s="45" t="n">
        <x:v>6.5</x:v>
      </x:c>
      <x:c r="N136" s="33" t="str">
        <x:v>True</x:v>
      </x:c>
      <x:c r="O136" s="45" t="n">
        <x:v>2</x:v>
      </x:c>
    </x:row>
    <x:row r="137">
      <x:c r="A137" s="33" t="str">
        <x:v>II</x:v>
      </x:c>
      <x:c r="B137" s="33" t="str">
        <x:v>D37-D48</x:v>
      </x:c>
      <x:c r="C137" s="51" t="str">
        <x:v>Новообразования неопределенного или неизвестного характера</x:v>
      </x:c>
      <x:c r="D137" s="33" t="str">
        <x:v>D39</x:v>
      </x:c>
      <x:c r="E137" s="39" t="n">
        <x:v>5</x:v>
      </x:c>
      <x:c r="F137" s="45" t="n">
        <x:v>59</x:v>
      </x:c>
      <x:c r="G137" s="45" t="n">
        <x:v>59</x:v>
      </x:c>
      <x:c r="H137" s="45" t="n">
        <x:v>77</x:v>
      </x:c>
      <x:c r="I137" s="45" t="n">
        <x:v>67</x:v>
      </x:c>
      <x:c r="J137" s="45" t="n">
        <x:v>55</x:v>
      </x:c>
      <x:c r="K137" s="45" t="n">
        <x:v>85</x:v>
      </x:c>
      <x:c r="L137" s="51" t="str">
        <x:v>Новообразование неопределенного поведения яичника</x:v>
      </x:c>
      <x:c r="M137" s="45" t="n">
        <x:v>18</x:v>
      </x:c>
      <x:c r="N137" s="33" t="str">
        <x:v>False</x:v>
      </x:c>
      <x:c r="O137" s="45" t="n">
        <x:v>2</x:v>
      </x:c>
    </x:row>
    <x:row r="138">
      <x:c r="A138" s="33" t="str">
        <x:v>II</x:v>
      </x:c>
      <x:c r="B138" s="33" t="str">
        <x:v>D37-D48</x:v>
      </x:c>
      <x:c r="C138" s="51" t="str">
        <x:v>Новообразования неопределенного или неизвестного характера</x:v>
      </x:c>
      <x:c r="D138" s="33" t="str">
        <x:v>D40</x:v>
      </x:c>
      <x:c r="E138" s="39" t="n">
        <x:v>1</x:v>
      </x:c>
      <x:c r="F138" s="45" t="n">
        <x:v>85</x:v>
      </x:c>
      <x:c r="G138" s="45" t="n">
        <x:v>85</x:v>
      </x:c>
      <x:c r="H138" s="45" t="n">
        <x:v>85</x:v>
      </x:c>
      <x:c r="I138" s="45" t="n">
        <x:v>85</x:v>
      </x:c>
      <x:c r="J138" s="45" t="n">
        <x:v>85</x:v>
      </x:c>
      <x:c r="K138" s="45" t="n">
        <x:v>85</x:v>
      </x:c>
      <x:c r="L138" s="51" t="str">
        <x:v>Новообразование неопределенного поведения предстательной железы</x:v>
      </x:c>
      <x:c r="M138" s="45" t="n">
        <x:v>0</x:v>
      </x:c>
      <x:c r="N138" s="33" t="str">
        <x:v>True</x:v>
      </x:c>
      <x:c r="O138" s="45" t="n">
        <x:v>2</x:v>
      </x:c>
    </x:row>
    <x:row r="139">
      <x:c r="A139" s="33" t="str">
        <x:v>II</x:v>
      </x:c>
      <x:c r="B139" s="33" t="str">
        <x:v>D37-D48</x:v>
      </x:c>
      <x:c r="C139" s="51" t="str">
        <x:v>Новообразования неопределенного или неизвестного характера</x:v>
      </x:c>
      <x:c r="D139" s="33" t="str">
        <x:v>D41</x:v>
      </x:c>
      <x:c r="E139" s="39" t="n">
        <x:v>3</x:v>
      </x:c>
      <x:c r="F139" s="45" t="n">
        <x:v>79</x:v>
      </x:c>
      <x:c r="G139" s="45" t="n">
        <x:v>77</x:v>
      </x:c>
      <x:c r="H139" s="45" t="n">
        <x:v>82</x:v>
      </x:c>
      <x:c r="I139" s="45" t="n">
        <x:v>79.66666666666667</x:v>
      </x:c>
      <x:c r="J139" s="45" t="n">
        <x:v>75</x:v>
      </x:c>
      <x:c r="K139" s="45" t="n">
        <x:v>85</x:v>
      </x:c>
      <x:c r="L139" s="51" t="str">
        <x:v>Новообразование неопределенного или неизвестного характера почки</x:v>
      </x:c>
      <x:c r="M139" s="45" t="n">
        <x:v>5</x:v>
      </x:c>
      <x:c r="N139" s="33" t="str">
        <x:v>True</x:v>
      </x:c>
      <x:c r="O139" s="45" t="n">
        <x:v>2</x:v>
      </x:c>
    </x:row>
    <x:row r="140">
      <x:c r="A140" s="33" t="str">
        <x:v>II</x:v>
      </x:c>
      <x:c r="B140" s="33" t="str">
        <x:v>D37-D48</x:v>
      </x:c>
      <x:c r="C140" s="51" t="str">
        <x:v>Новообразования неопределенного или неизвестного характера</x:v>
      </x:c>
      <x:c r="D140" s="33" t="str">
        <x:v>D42</x:v>
      </x:c>
      <x:c r="E140" s="39" t="n">
        <x:v>7</x:v>
      </x:c>
      <x:c r="F140" s="45" t="n">
        <x:v>77</x:v>
      </x:c>
      <x:c r="G140" s="45" t="n">
        <x:v>72</x:v>
      </x:c>
      <x:c r="H140" s="45" t="n">
        <x:v>80.5</x:v>
      </x:c>
      <x:c r="I140" s="45" t="n">
        <x:v>75.28571428571429</x:v>
      </x:c>
      <x:c r="J140" s="45" t="n">
        <x:v>63</x:v>
      </x:c>
      <x:c r="K140" s="45" t="n">
        <x:v>82</x:v>
      </x:c>
      <x:c r="L140" s="51" t="str">
        <x:v>Новообразование неопределенного поведения мозговых оболочек</x:v>
      </x:c>
      <x:c r="M140" s="45" t="n">
        <x:v>8.5</x:v>
      </x:c>
      <x:c r="N140" s="33" t="str">
        <x:v>False</x:v>
      </x:c>
      <x:c r="O140" s="45" t="n">
        <x:v>2</x:v>
      </x:c>
    </x:row>
    <x:row r="141">
      <x:c r="A141" s="33" t="str">
        <x:v>II</x:v>
      </x:c>
      <x:c r="B141" s="33" t="str">
        <x:v>D37-D48</x:v>
      </x:c>
      <x:c r="C141" s="51" t="str">
        <x:v>Новообразования неопределенного или неизвестного характера</x:v>
      </x:c>
      <x:c r="D141" s="33" t="str">
        <x:v>D43</x:v>
      </x:c>
      <x:c r="E141" s="39" t="n">
        <x:v>37</x:v>
      </x:c>
      <x:c r="F141" s="45" t="n">
        <x:v>68</x:v>
      </x:c>
      <x:c r="G141" s="45" t="n">
        <x:v>58</x:v>
      </x:c>
      <x:c r="H141" s="45" t="n">
        <x:v>72</x:v>
      </x:c>
      <x:c r="I141" s="45" t="n">
        <x:v>65.16216216216216</x:v>
      </x:c>
      <x:c r="J141" s="45" t="n">
        <x:v>37</x:v>
      </x:c>
      <x:c r="K141" s="45" t="n">
        <x:v>94</x:v>
      </x:c>
      <x:c r="L141" s="51" t="str">
        <x:v>Новообразование неопределенного или неизвестного характера головного мозга над мозговым наметом</x:v>
      </x:c>
      <x:c r="M141" s="45" t="n">
        <x:v>14</x:v>
      </x:c>
      <x:c r="N141" s="33" t="str">
        <x:v>False</x:v>
      </x:c>
      <x:c r="O141" s="45" t="n">
        <x:v>2</x:v>
      </x:c>
    </x:row>
    <x:row r="142">
      <x:c r="A142" s="33" t="str">
        <x:v>II</x:v>
      </x:c>
      <x:c r="B142" s="33" t="str">
        <x:v>D37-D48</x:v>
      </x:c>
      <x:c r="C142" s="51" t="str">
        <x:v>Новообразования неопределенного или неизвестного характера</x:v>
      </x:c>
      <x:c r="D142" s="33" t="str">
        <x:v>D44</x:v>
      </x:c>
      <x:c r="E142" s="39" t="n">
        <x:v>3</x:v>
      </x:c>
      <x:c r="F142" s="45" t="n">
        <x:v>59</x:v>
      </x:c>
      <x:c r="G142" s="45" t="n">
        <x:v>41</x:v>
      </x:c>
      <x:c r="H142" s="45" t="n">
        <x:v>63</x:v>
      </x:c>
      <x:c r="I142" s="45" t="n">
        <x:v>49.666666666666664</x:v>
      </x:c>
      <x:c r="J142" s="45" t="n">
        <x:v>23</x:v>
      </x:c>
      <x:c r="K142" s="45" t="n">
        <x:v>67</x:v>
      </x:c>
      <x:c r="L142" s="51" t="str">
        <x:v>Новообразование неопределенного поведения гипофиза</x:v>
      </x:c>
      <x:c r="M142" s="45" t="n">
        <x:v>22</x:v>
      </x:c>
      <x:c r="N142" s="33" t="str">
        <x:v>True</x:v>
      </x:c>
      <x:c r="O142" s="45" t="n">
        <x:v>2</x:v>
      </x:c>
    </x:row>
    <x:row r="143">
      <x:c r="A143" s="33" t="str">
        <x:v>II</x:v>
      </x:c>
      <x:c r="B143" s="33" t="str">
        <x:v>D37-D48</x:v>
      </x:c>
      <x:c r="C143" s="51" t="str">
        <x:v>Новообразования неопределенного или неизвестного характера</x:v>
      </x:c>
      <x:c r="D143" s="33" t="str">
        <x:v>D45</x:v>
      </x:c>
      <x:c r="E143" s="39" t="n">
        <x:v>11</x:v>
      </x:c>
      <x:c r="F143" s="45" t="n">
        <x:v>75</x:v>
      </x:c>
      <x:c r="G143" s="45" t="n">
        <x:v>68</x:v>
      </x:c>
      <x:c r="H143" s="45" t="n">
        <x:v>80</x:v>
      </x:c>
      <x:c r="I143" s="45" t="n">
        <x:v>75</x:v>
      </x:c>
      <x:c r="J143" s="45" t="n">
        <x:v>64</x:v>
      </x:c>
      <x:c r="K143" s="45" t="n">
        <x:v>86</x:v>
      </x:c>
      <x:c r="L143" s="51" t="str">
        <x:v>Полицитемия истинная</x:v>
      </x:c>
      <x:c r="M143" s="45" t="n">
        <x:v>12</x:v>
      </x:c>
      <x:c r="N143" s="33" t="str">
        <x:v>False</x:v>
      </x:c>
      <x:c r="O143" s="45" t="n">
        <x:v>2</x:v>
      </x:c>
    </x:row>
    <x:row r="144">
      <x:c r="A144" s="33" t="str">
        <x:v>II</x:v>
      </x:c>
      <x:c r="B144" s="33" t="str">
        <x:v>D37-D48</x:v>
      </x:c>
      <x:c r="C144" s="51" t="str">
        <x:v>Новообразования неопределенного или неизвестного характера</x:v>
      </x:c>
      <x:c r="D144" s="33" t="str">
        <x:v>D46</x:v>
      </x:c>
      <x:c r="E144" s="39" t="n">
        <x:v>30</x:v>
      </x:c>
      <x:c r="F144" s="45" t="n">
        <x:v>69.5</x:v>
      </x:c>
      <x:c r="G144" s="45" t="n">
        <x:v>60.75</x:v>
      </x:c>
      <x:c r="H144" s="45" t="n">
        <x:v>75.5</x:v>
      </x:c>
      <x:c r="I144" s="45" t="n">
        <x:v>67.83333333333333</x:v>
      </x:c>
      <x:c r="J144" s="45" t="n">
        <x:v>33</x:v>
      </x:c>
      <x:c r="K144" s="45" t="n">
        <x:v>95</x:v>
      </x:c>
      <x:c r="L144" s="51" t="str">
        <x:v>Другие миелодиспластические синдромы</x:v>
      </x:c>
      <x:c r="M144" s="45" t="n">
        <x:v>14.75</x:v>
      </x:c>
      <x:c r="N144" s="33" t="str">
        <x:v>False</x:v>
      </x:c>
      <x:c r="O144" s="45" t="n">
        <x:v>2</x:v>
      </x:c>
    </x:row>
    <x:row r="145">
      <x:c r="A145" s="33" t="str">
        <x:v>II</x:v>
      </x:c>
      <x:c r="B145" s="33" t="str">
        <x:v>D37-D48</x:v>
      </x:c>
      <x:c r="C145" s="51" t="str">
        <x:v>Новообразования неопределенного или неизвестного характера</x:v>
      </x:c>
      <x:c r="D145" s="33" t="str">
        <x:v>D47</x:v>
      </x:c>
      <x:c r="E145" s="39" t="n">
        <x:v>12</x:v>
      </x:c>
      <x:c r="F145" s="45" t="n">
        <x:v>65</x:v>
      </x:c>
      <x:c r="G145" s="45" t="n">
        <x:v>61.25</x:v>
      </x:c>
      <x:c r="H145" s="45" t="n">
        <x:v>70.75</x:v>
      </x:c>
      <x:c r="I145" s="45" t="n">
        <x:v>66.08333333333333</x:v>
      </x:c>
      <x:c r="J145" s="45" t="n">
        <x:v>45</x:v>
      </x:c>
      <x:c r="K145" s="45" t="n">
        <x:v>83</x:v>
      </x:c>
      <x:c r="L145" s="51" t="str">
        <x:v>Хроническая миелопролиферативная болезнь</x:v>
      </x:c>
      <x:c r="M145" s="45" t="n">
        <x:v>9.5</x:v>
      </x:c>
      <x:c r="N145" s="33" t="str">
        <x:v>False</x:v>
      </x:c>
      <x:c r="O145" s="45" t="n">
        <x:v>2</x:v>
      </x:c>
    </x:row>
    <x:row r="146">
      <x:c r="A146" s="33" t="str">
        <x:v>II</x:v>
      </x:c>
      <x:c r="B146" s="33" t="str">
        <x:v>D37-D48</x:v>
      </x:c>
      <x:c r="C146" s="51" t="str">
        <x:v>Новообразования неопределенного или неизвестного характера</x:v>
      </x:c>
      <x:c r="D146" s="33" t="str">
        <x:v>D48</x:v>
      </x:c>
      <x:c r="E146" s="39" t="n">
        <x:v>4</x:v>
      </x:c>
      <x:c r="F146" s="45" t="n">
        <x:v>79.5</x:v>
      </x:c>
      <x:c r="G146" s="45" t="n">
        <x:v>73.5</x:v>
      </x:c>
      <x:c r="H146" s="45" t="n">
        <x:v>83.75</x:v>
      </x:c>
      <x:c r="I146" s="45" t="n">
        <x:v>77.75</x:v>
      </x:c>
      <x:c r="J146" s="45" t="n">
        <x:v>60</x:v>
      </x:c>
      <x:c r="K146" s="45" t="n">
        <x:v>92</x:v>
      </x:c>
      <x:c r="L146" s="51" t="str">
        <x:v>Новообразование неопределенного поведения брюшины</x:v>
      </x:c>
      <x:c r="M146" s="45" t="n">
        <x:v>10.25</x:v>
      </x:c>
      <x:c r="N146" s="33" t="str">
        <x:v>True</x:v>
      </x:c>
      <x:c r="O146" s="45" t="n">
        <x:v>2</x:v>
      </x:c>
    </x:row>
    <x:row r="147">
      <x:c r="A147" s="33" t="str">
        <x:v>III</x:v>
      </x:c>
      <x:c r="B147" s="33" t="str">
        <x:v>D50-D53</x:v>
      </x:c>
      <x:c r="C147" s="51" t="str">
        <x:v>Анемии, связанные с питанием</x:v>
      </x:c>
      <x:c r="D147" s="33" t="str">
        <x:v>D50</x:v>
      </x:c>
      <x:c r="E147" s="39" t="n">
        <x:v>2</x:v>
      </x:c>
      <x:c r="F147" s="45" t="n">
        <x:v>74</x:v>
      </x:c>
      <x:c r="G147" s="45" t="n">
        <x:v>70.5</x:v>
      </x:c>
      <x:c r="H147" s="45" t="n">
        <x:v>77.5</x:v>
      </x:c>
      <x:c r="I147" s="45" t="n">
        <x:v>74</x:v>
      </x:c>
      <x:c r="J147" s="45" t="n">
        <x:v>67</x:v>
      </x:c>
      <x:c r="K147" s="45" t="n">
        <x:v>81</x:v>
      </x:c>
      <x:c r="L147" s="51" t="str">
        <x:v>Другие железодефицитные анемии</x:v>
      </x:c>
      <x:c r="M147" s="45" t="n">
        <x:v>7</x:v>
      </x:c>
      <x:c r="N147" s="33" t="str">
        <x:v>True</x:v>
      </x:c>
      <x:c r="O147" s="45" t="n">
        <x:v>3</x:v>
      </x:c>
    </x:row>
    <x:row r="148">
      <x:c r="A148" s="33" t="str">
        <x:v>III</x:v>
      </x:c>
      <x:c r="B148" s="33" t="str">
        <x:v>D50-D53</x:v>
      </x:c>
      <x:c r="C148" s="51" t="str">
        <x:v>Анемии, связанные с питанием</x:v>
      </x:c>
      <x:c r="D148" s="33" t="str">
        <x:v>D52</x:v>
      </x:c>
      <x:c r="E148" s="39" t="n">
        <x:v>1</x:v>
      </x:c>
      <x:c r="F148" s="45" t="n">
        <x:v>77</x:v>
      </x:c>
      <x:c r="G148" s="45" t="n">
        <x:v>77</x:v>
      </x:c>
      <x:c r="H148" s="45" t="n">
        <x:v>77</x:v>
      </x:c>
      <x:c r="I148" s="45" t="n">
        <x:v>77</x:v>
      </x:c>
      <x:c r="J148" s="45" t="n">
        <x:v>77</x:v>
      </x:c>
      <x:c r="K148" s="45" t="n">
        <x:v>77</x:v>
      </x:c>
      <x:c r="L148" s="51" t="str">
        <x:v>Фолиеводефицитная анемия неуточненная</x:v>
      </x:c>
      <x:c r="M148" s="45" t="n">
        <x:v>0</x:v>
      </x:c>
      <x:c r="N148" s="33" t="str">
        <x:v>True</x:v>
      </x:c>
      <x:c r="O148" s="45" t="n">
        <x:v>3</x:v>
      </x:c>
    </x:row>
    <x:row r="149">
      <x:c r="A149" s="33" t="str">
        <x:v>III</x:v>
      </x:c>
      <x:c r="B149" s="33" t="str">
        <x:v>D55-D59</x:v>
      </x:c>
      <x:c r="C149" s="51" t="str">
        <x:v>Гемолитические анемии</x:v>
      </x:c>
      <x:c r="D149" s="33" t="str">
        <x:v>D59</x:v>
      </x:c>
      <x:c r="E149" s="39" t="n">
        <x:v>3</x:v>
      </x:c>
      <x:c r="F149" s="45" t="n">
        <x:v>73</x:v>
      </x:c>
      <x:c r="G149" s="45" t="n">
        <x:v>67</x:v>
      </x:c>
      <x:c r="H149" s="45" t="n">
        <x:v>80.5</x:v>
      </x:c>
      <x:c r="I149" s="45" t="n">
        <x:v>74</x:v>
      </x:c>
      <x:c r="J149" s="45" t="n">
        <x:v>61</x:v>
      </x:c>
      <x:c r="K149" s="45" t="n">
        <x:v>88</x:v>
      </x:c>
      <x:c r="L149" s="51" t="str">
        <x:v>Другие гемолитические анемии</x:v>
      </x:c>
      <x:c r="M149" s="45" t="n">
        <x:v>13.5</x:v>
      </x:c>
      <x:c r="N149" s="33" t="str">
        <x:v>True</x:v>
      </x:c>
      <x:c r="O149" s="45" t="n">
        <x:v>3</x:v>
      </x:c>
    </x:row>
    <x:row r="150">
      <x:c r="A150" s="33" t="str">
        <x:v>III</x:v>
      </x:c>
      <x:c r="B150" s="33" t="str">
        <x:v>D60-D64</x:v>
      </x:c>
      <x:c r="C150" s="51" t="str">
        <x:v>Апластические и другие анемии</x:v>
      </x:c>
      <x:c r="D150" s="33" t="str">
        <x:v>D60</x:v>
      </x:c>
      <x:c r="E150" s="39" t="n">
        <x:v>3</x:v>
      </x:c>
      <x:c r="F150" s="45" t="n">
        <x:v>82</x:v>
      </x:c>
      <x:c r="G150" s="45" t="n">
        <x:v>48.5</x:v>
      </x:c>
      <x:c r="H150" s="45" t="n">
        <x:v>87.5</x:v>
      </x:c>
      <x:c r="I150" s="45" t="n">
        <x:v>63.333333333333336</x:v>
      </x:c>
      <x:c r="J150" s="45" t="n">
        <x:v>15</x:v>
      </x:c>
      <x:c r="K150" s="45" t="n">
        <x:v>93</x:v>
      </x:c>
      <x:c r="L150" s="51" t="str">
        <x:v>Хроническая приобретенная чистая красноклеточная аплазия</x:v>
      </x:c>
      <x:c r="M150" s="45" t="n">
        <x:v>39</x:v>
      </x:c>
      <x:c r="N150" s="33" t="str">
        <x:v>True</x:v>
      </x:c>
      <x:c r="O150" s="45" t="n">
        <x:v>3</x:v>
      </x:c>
    </x:row>
    <x:row r="151">
      <x:c r="A151" s="33" t="str">
        <x:v>III</x:v>
      </x:c>
      <x:c r="B151" s="33" t="str">
        <x:v>D60-D64</x:v>
      </x:c>
      <x:c r="C151" s="51" t="str">
        <x:v>Апластические и другие анемии</x:v>
      </x:c>
      <x:c r="D151" s="33" t="str">
        <x:v>D61</x:v>
      </x:c>
      <x:c r="E151" s="39" t="n">
        <x:v>19</x:v>
      </x:c>
      <x:c r="F151" s="45" t="n">
        <x:v>69</x:v>
      </x:c>
      <x:c r="G151" s="45" t="n">
        <x:v>64</x:v>
      </x:c>
      <x:c r="H151" s="45" t="n">
        <x:v>78</x:v>
      </x:c>
      <x:c r="I151" s="45" t="n">
        <x:v>69.42105263157895</x:v>
      </x:c>
      <x:c r="J151" s="45" t="n">
        <x:v>43</x:v>
      </x:c>
      <x:c r="K151" s="45" t="n">
        <x:v>88</x:v>
      </x:c>
      <x:c r="L151" s="51" t="str">
        <x:v>Идиопатическая апластическая анемия</x:v>
      </x:c>
      <x:c r="M151" s="45" t="n">
        <x:v>14</x:v>
      </x:c>
      <x:c r="N151" s="33" t="str">
        <x:v>False</x:v>
      </x:c>
      <x:c r="O151" s="45" t="n">
        <x:v>3</x:v>
      </x:c>
    </x:row>
    <x:row r="152">
      <x:c r="A152" s="33" t="str">
        <x:v>III</x:v>
      </x:c>
      <x:c r="B152" s="33" t="str">
        <x:v>D65-D69</x:v>
      </x:c>
      <x:c r="C152" s="51" t="str">
        <x:v>Нарушения свёртывания крови</x:v>
      </x:c>
      <x:c r="D152" s="33" t="str">
        <x:v>D65</x:v>
      </x:c>
      <x:c r="E152" s="39" t="n">
        <x:v>1</x:v>
      </x:c>
      <x:c r="F152" s="45" t="n">
        <x:v>46</x:v>
      </x:c>
      <x:c r="G152" s="45" t="n">
        <x:v>46</x:v>
      </x:c>
      <x:c r="H152" s="45" t="n">
        <x:v>46</x:v>
      </x:c>
      <x:c r="I152" s="45" t="n">
        <x:v>46</x:v>
      </x:c>
      <x:c r="J152" s="45" t="n">
        <x:v>46</x:v>
      </x:c>
      <x:c r="K152" s="45" t="n">
        <x:v>46</x:v>
      </x:c>
      <x:c r="L152" s="51" t="str">
        <x:v>Диссеминированное внутрисосудистое свертывание [ДВС-синдром]</x:v>
      </x:c>
      <x:c r="M152" s="45" t="n">
        <x:v>0</x:v>
      </x:c>
      <x:c r="N152" s="33" t="str">
        <x:v>True</x:v>
      </x:c>
      <x:c r="O152" s="45" t="n">
        <x:v>3</x:v>
      </x:c>
    </x:row>
    <x:row r="153">
      <x:c r="A153" s="33" t="str">
        <x:v>III</x:v>
      </x:c>
      <x:c r="B153" s="33" t="str">
        <x:v>D65-D69</x:v>
      </x:c>
      <x:c r="C153" s="51" t="str">
        <x:v>Нарушения свёртывания крови</x:v>
      </x:c>
      <x:c r="D153" s="33" t="str">
        <x:v>D68</x:v>
      </x:c>
      <x:c r="E153" s="39" t="n">
        <x:v>21</x:v>
      </x:c>
      <x:c r="F153" s="45" t="n">
        <x:v>69</x:v>
      </x:c>
      <x:c r="G153" s="45" t="n">
        <x:v>65</x:v>
      </x:c>
      <x:c r="H153" s="45" t="n">
        <x:v>75</x:v>
      </x:c>
      <x:c r="I153" s="45" t="n">
        <x:v>68.47619047619048</x:v>
      </x:c>
      <x:c r="J153" s="45" t="n">
        <x:v>38</x:v>
      </x:c>
      <x:c r="K153" s="45" t="n">
        <x:v>89</x:v>
      </x:c>
      <x:c r="L153" s="51" t="str">
        <x:v>Геморрагические нарушения, обусловленные циркулирующими в крови антикоагулянтами</x:v>
      </x:c>
      <x:c r="M153" s="45" t="n">
        <x:v>10</x:v>
      </x:c>
      <x:c r="N153" s="33" t="str">
        <x:v>False</x:v>
      </x:c>
      <x:c r="O153" s="45" t="n">
        <x:v>3</x:v>
      </x:c>
    </x:row>
    <x:row r="154">
      <x:c r="A154" s="33" t="str">
        <x:v>III</x:v>
      </x:c>
      <x:c r="B154" s="33" t="str">
        <x:v>D65-D69</x:v>
      </x:c>
      <x:c r="C154" s="51" t="str">
        <x:v>Нарушения свёртывания крови</x:v>
      </x:c>
      <x:c r="D154" s="33" t="str">
        <x:v>D69</x:v>
      </x:c>
      <x:c r="E154" s="39" t="n">
        <x:v>4</x:v>
      </x:c>
      <x:c r="F154" s="45" t="n">
        <x:v>66</x:v>
      </x:c>
      <x:c r="G154" s="45" t="n">
        <x:v>60.25</x:v>
      </x:c>
      <x:c r="H154" s="45" t="n">
        <x:v>73.25</x:v>
      </x:c>
      <x:c r="I154" s="45" t="n">
        <x:v>67.5</x:v>
      </x:c>
      <x:c r="J154" s="45" t="n">
        <x:v>52</x:v>
      </x:c>
      <x:c r="K154" s="45" t="n">
        <x:v>86</x:v>
      </x:c>
      <x:c r="L154" s="51" t="str">
        <x:v>Идиопатическая тромбоцитопеническая пурпура</x:v>
      </x:c>
      <x:c r="M154" s="45" t="n">
        <x:v>13</x:v>
      </x:c>
      <x:c r="N154" s="33" t="str">
        <x:v>True</x:v>
      </x:c>
      <x:c r="O154" s="45" t="n">
        <x:v>3</x:v>
      </x:c>
    </x:row>
    <x:row r="155">
      <x:c r="A155" s="33" t="str">
        <x:v>III</x:v>
      </x:c>
      <x:c r="B155" s="33" t="str">
        <x:v>D70-D77</x:v>
      </x:c>
      <x:c r="C155" s="51" t="str">
        <x:v>Другие болезни крови и кроветворных органов</x:v>
      </x:c>
      <x:c r="D155" s="33" t="str">
        <x:v>D70</x:v>
      </x:c>
      <x:c r="E155" s="39" t="n">
        <x:v>1</x:v>
      </x:c>
      <x:c r="F155" s="45" t="n">
        <x:v>70</x:v>
      </x:c>
      <x:c r="G155" s="45" t="n">
        <x:v>70</x:v>
      </x:c>
      <x:c r="H155" s="45" t="n">
        <x:v>70</x:v>
      </x:c>
      <x:c r="I155" s="45" t="n">
        <x:v>70</x:v>
      </x:c>
      <x:c r="J155" s="45" t="n">
        <x:v>70</x:v>
      </x:c>
      <x:c r="K155" s="45" t="n">
        <x:v>70</x:v>
      </x:c>
      <x:c r="L155" s="51" t="str">
        <x:v>Агранулоцитоз</x:v>
      </x:c>
      <x:c r="M155" s="45" t="n">
        <x:v>0</x:v>
      </x:c>
      <x:c r="N155" s="33" t="str">
        <x:v>True</x:v>
      </x:c>
      <x:c r="O155" s="45" t="n">
        <x:v>3</x:v>
      </x:c>
    </x:row>
    <x:row r="156">
      <x:c r="A156" s="33" t="str">
        <x:v>III</x:v>
      </x:c>
      <x:c r="B156" s="33" t="str">
        <x:v>D70-D77</x:v>
      </x:c>
      <x:c r="C156" s="51" t="str">
        <x:v>Другие болезни крови и кроветворных органов</x:v>
      </x:c>
      <x:c r="D156" s="33" t="str">
        <x:v>D73</x:v>
      </x:c>
      <x:c r="E156" s="39" t="n">
        <x:v>11</x:v>
      </x:c>
      <x:c r="F156" s="45" t="n">
        <x:v>69</x:v>
      </x:c>
      <x:c r="G156" s="45" t="n">
        <x:v>65.5</x:v>
      </x:c>
      <x:c r="H156" s="45" t="n">
        <x:v>74.5</x:v>
      </x:c>
      <x:c r="I156" s="45" t="n">
        <x:v>68.72727272727273</x:v>
      </x:c>
      <x:c r="J156" s="45" t="n">
        <x:v>35</x:v>
      </x:c>
      <x:c r="K156" s="45" t="n">
        <x:v>92</x:v>
      </x:c>
      <x:c r="L156" s="51" t="str">
        <x:v>Абсцесс селезенки</x:v>
      </x:c>
      <x:c r="M156" s="45" t="n">
        <x:v>9</x:v>
      </x:c>
      <x:c r="N156" s="33" t="str">
        <x:v>False</x:v>
      </x:c>
      <x:c r="O156" s="45" t="n">
        <x:v>3</x:v>
      </x:c>
    </x:row>
    <x:row r="157">
      <x:c r="A157" s="33" t="str">
        <x:v>III</x:v>
      </x:c>
      <x:c r="B157" s="33" t="str">
        <x:v>D80-D89</x:v>
      </x:c>
      <x:c r="C157" s="51" t="str">
        <x:v>Нарушения иммунного механизма</x:v>
      </x:c>
      <x:c r="D157" s="33" t="str">
        <x:v>D86</x:v>
      </x:c>
      <x:c r="E157" s="39" t="n">
        <x:v>5</x:v>
      </x:c>
      <x:c r="F157" s="45" t="n">
        <x:v>50</x:v>
      </x:c>
      <x:c r="G157" s="45" t="n">
        <x:v>44</x:v>
      </x:c>
      <x:c r="H157" s="45" t="n">
        <x:v>61</x:v>
      </x:c>
      <x:c r="I157" s="45" t="n">
        <x:v>52.8</x:v>
      </x:c>
      <x:c r="J157" s="45" t="n">
        <x:v>43</x:v>
      </x:c>
      <x:c r="K157" s="45" t="n">
        <x:v>66</x:v>
      </x:c>
      <x:c r="L157" s="51" t="str">
        <x:v>Саркоидоз других уточненных и комбинированных локализаций</x:v>
      </x:c>
      <x:c r="M157" s="45" t="n">
        <x:v>17</x:v>
      </x:c>
      <x:c r="N157" s="33" t="str">
        <x:v>False</x:v>
      </x:c>
      <x:c r="O157" s="45" t="n">
        <x:v>3</x:v>
      </x:c>
    </x:row>
    <x:row r="158">
      <x:c r="A158" s="33" t="str">
        <x:v>IV</x:v>
      </x:c>
      <x:c r="B158" s="33" t="str">
        <x:v>E00-E07</x:v>
      </x:c>
      <x:c r="C158" s="51" t="str">
        <x:v>Болезни щитовидной железы</x:v>
      </x:c>
      <x:c r="D158" s="33" t="str">
        <x:v>E04</x:v>
      </x:c>
      <x:c r="E158" s="39" t="n">
        <x:v>1</x:v>
      </x:c>
      <x:c r="F158" s="45" t="n">
        <x:v>78</x:v>
      </x:c>
      <x:c r="G158" s="45" t="n">
        <x:v>78</x:v>
      </x:c>
      <x:c r="H158" s="45" t="n">
        <x:v>78</x:v>
      </x:c>
      <x:c r="I158" s="45" t="n">
        <x:v>78</x:v>
      </x:c>
      <x:c r="J158" s="45" t="n">
        <x:v>78</x:v>
      </x:c>
      <x:c r="K158" s="45" t="n">
        <x:v>78</x:v>
      </x:c>
      <x:c r="L158" s="51" t="str">
        <x:v>Нетоксический многоузловой зоб</x:v>
      </x:c>
      <x:c r="M158" s="45" t="n">
        <x:v>0</x:v>
      </x:c>
      <x:c r="N158" s="33" t="str">
        <x:v>True</x:v>
      </x:c>
      <x:c r="O158" s="45" t="n">
        <x:v>4</x:v>
      </x:c>
    </x:row>
    <x:row r="159">
      <x:c r="A159" s="33" t="str">
        <x:v>IV</x:v>
      </x:c>
      <x:c r="B159" s="33" t="str">
        <x:v>E00-E07</x:v>
      </x:c>
      <x:c r="C159" s="51" t="str">
        <x:v>Болезни щитовидной железы</x:v>
      </x:c>
      <x:c r="D159" s="33" t="str">
        <x:v>E05</x:v>
      </x:c>
      <x:c r="E159" s="39" t="n">
        <x:v>10</x:v>
      </x:c>
      <x:c r="F159" s="45" t="n">
        <x:v>61</x:v>
      </x:c>
      <x:c r="G159" s="45" t="n">
        <x:v>53</x:v>
      </x:c>
      <x:c r="H159" s="45" t="n">
        <x:v>70.25</x:v>
      </x:c>
      <x:c r="I159" s="45" t="n">
        <x:v>61</x:v>
      </x:c>
      <x:c r="J159" s="45" t="n">
        <x:v>43</x:v>
      </x:c>
      <x:c r="K159" s="45" t="n">
        <x:v>77</x:v>
      </x:c>
      <x:c r="L159" s="51" t="str">
        <x:v>Тиреотоксикоз с диффузным зобом</x:v>
      </x:c>
      <x:c r="M159" s="45" t="n">
        <x:v>17.25</x:v>
      </x:c>
      <x:c r="N159" s="33" t="str">
        <x:v>False</x:v>
      </x:c>
      <x:c r="O159" s="45" t="n">
        <x:v>4</x:v>
      </x:c>
    </x:row>
    <x:row r="160">
      <x:c r="A160" s="33" t="str">
        <x:v>IV</x:v>
      </x:c>
      <x:c r="B160" s="33" t="str">
        <x:v>E00-E07</x:v>
      </x:c>
      <x:c r="C160" s="51" t="str">
        <x:v>Болезни щитовидной железы</x:v>
      </x:c>
      <x:c r="D160" s="33" t="str">
        <x:v>E06</x:v>
      </x:c>
      <x:c r="E160" s="39" t="n">
        <x:v>2</x:v>
      </x:c>
      <x:c r="F160" s="45" t="n">
        <x:v>66.5</x:v>
      </x:c>
      <x:c r="G160" s="45" t="n">
        <x:v>66.25</x:v>
      </x:c>
      <x:c r="H160" s="45" t="n">
        <x:v>66.75</x:v>
      </x:c>
      <x:c r="I160" s="45" t="n">
        <x:v>66.5</x:v>
      </x:c>
      <x:c r="J160" s="45" t="n">
        <x:v>66</x:v>
      </x:c>
      <x:c r="K160" s="45" t="n">
        <x:v>67</x:v>
      </x:c>
      <x:c r="L160" s="51" t="str">
        <x:v>Аутоиммунный тиреоидит</x:v>
      </x:c>
      <x:c r="M160" s="45" t="n">
        <x:v>0.5</x:v>
      </x:c>
      <x:c r="N160" s="33" t="str">
        <x:v>True</x:v>
      </x:c>
      <x:c r="O160" s="45" t="n">
        <x:v>4</x:v>
      </x:c>
    </x:row>
    <x:row r="161">
      <x:c r="A161" s="33" t="str">
        <x:v>IV</x:v>
      </x:c>
      <x:c r="B161" s="33" t="str">
        <x:v>E10-E14</x:v>
      </x:c>
      <x:c r="C161" s="51" t="str">
        <x:v>Сахарный диабет</x:v>
      </x:c>
      <x:c r="D161" s="33" t="str">
        <x:v>E10</x:v>
      </x:c>
      <x:c r="E161" s="39" t="n">
        <x:v>123</x:v>
      </x:c>
      <x:c r="F161" s="45" t="n">
        <x:v>56</x:v>
      </x:c>
      <x:c r="G161" s="45" t="n">
        <x:v>41</x:v>
      </x:c>
      <x:c r="H161" s="45" t="n">
        <x:v>70</x:v>
      </x:c>
      <x:c r="I161" s="45" t="n">
        <x:v>55.46341463414634</x:v>
      </x:c>
      <x:c r="J161" s="45" t="n">
        <x:v>20</x:v>
      </x:c>
      <x:c r="K161" s="45" t="n">
        <x:v>85</x:v>
      </x:c>
      <x:c r="L161" s="51" t="str">
        <x:v>Инсулинзависимый сахарный диабет с множественными осложнениями</x:v>
      </x:c>
      <x:c r="M161" s="45" t="n">
        <x:v>29</x:v>
      </x:c>
      <x:c r="N161" s="33" t="str">
        <x:v>False</x:v>
      </x:c>
      <x:c r="O161" s="45" t="n">
        <x:v>4</x:v>
      </x:c>
    </x:row>
    <x:row r="162">
      <x:c r="A162" s="33" t="str">
        <x:v>IV</x:v>
      </x:c>
      <x:c r="B162" s="33" t="str">
        <x:v>E10-E14</x:v>
      </x:c>
      <x:c r="C162" s="51" t="str">
        <x:v>Сахарный диабет</x:v>
      </x:c>
      <x:c r="D162" s="33" t="str">
        <x:v>E11</x:v>
      </x:c>
      <x:c r="E162" s="39" t="n">
        <x:v>2996</x:v>
      </x:c>
      <x:c r="F162" s="45" t="n">
        <x:v>72</x:v>
      </x:c>
      <x:c r="G162" s="45" t="n">
        <x:v>66.75</x:v>
      </x:c>
      <x:c r="H162" s="45" t="n">
        <x:v>80</x:v>
      </x:c>
      <x:c r="I162" s="45" t="n">
        <x:v>72.60914552736983</x:v>
      </x:c>
      <x:c r="J162" s="45" t="n">
        <x:v>29</x:v>
      </x:c>
      <x:c r="K162" s="45" t="n">
        <x:v>102</x:v>
      </x:c>
      <x:c r="L162" s="51" t="str">
        <x:v>Инсулиннезависимый сахарный диабет с множественными осложнениями</x:v>
      </x:c>
      <x:c r="M162" s="45" t="n">
        <x:v>13.25</x:v>
      </x:c>
      <x:c r="N162" s="33" t="str">
        <x:v>False</x:v>
      </x:c>
      <x:c r="O162" s="45" t="n">
        <x:v>4</x:v>
      </x:c>
    </x:row>
    <x:row r="163">
      <x:c r="A163" s="33" t="str">
        <x:v>IV</x:v>
      </x:c>
      <x:c r="B163" s="33" t="str">
        <x:v>E10-E14</x:v>
      </x:c>
      <x:c r="C163" s="51" t="str">
        <x:v>Сахарный диабет</x:v>
      </x:c>
      <x:c r="D163" s="33" t="str">
        <x:v>E13</x:v>
      </x:c>
      <x:c r="E163" s="39" t="n">
        <x:v>4</x:v>
      </x:c>
      <x:c r="F163" s="45" t="n">
        <x:v>70</x:v>
      </x:c>
      <x:c r="G163" s="45" t="n">
        <x:v>56</x:v>
      </x:c>
      <x:c r="H163" s="45" t="n">
        <x:v>79.5</x:v>
      </x:c>
      <x:c r="I163" s="45" t="n">
        <x:v>65.5</x:v>
      </x:c>
      <x:c r="J163" s="45" t="n">
        <x:v>41</x:v>
      </x:c>
      <x:c r="K163" s="45" t="n">
        <x:v>81</x:v>
      </x:c>
      <x:c r="L163" s="51" t="str">
        <x:v>Другой уточненный сахарный диабет с множественными осложнениями</x:v>
      </x:c>
      <x:c r="M163" s="45" t="n">
        <x:v>23.5</x:v>
      </x:c>
      <x:c r="N163" s="33" t="str">
        <x:v>True</x:v>
      </x:c>
      <x:c r="O163" s="45" t="n">
        <x:v>4</x:v>
      </x:c>
    </x:row>
    <x:row r="164">
      <x:c r="A164" s="33" t="str">
        <x:v>IV</x:v>
      </x:c>
      <x:c r="B164" s="33" t="str">
        <x:v>E10-E14</x:v>
      </x:c>
      <x:c r="C164" s="51" t="str">
        <x:v>Сахарный диабет</x:v>
      </x:c>
      <x:c r="D164" s="33" t="str">
        <x:v>E14</x:v>
      </x:c>
      <x:c r="E164" s="39" t="n">
        <x:v>1</x:v>
      </x:c>
      <x:c r="F164" s="45" t="n">
        <x:v>49</x:v>
      </x:c>
      <x:c r="G164" s="45" t="n">
        <x:v>49</x:v>
      </x:c>
      <x:c r="H164" s="45" t="n">
        <x:v>49</x:v>
      </x:c>
      <x:c r="I164" s="45" t="n">
        <x:v>49</x:v>
      </x:c>
      <x:c r="J164" s="45" t="n">
        <x:v>49</x:v>
      </x:c>
      <x:c r="K164" s="45" t="n">
        <x:v>49</x:v>
      </x:c>
      <x:c r="L164" s="51" t="str">
        <x:v>Сахарный диабет неуточненный с поражением почек</x:v>
      </x:c>
      <x:c r="M164" s="45" t="n">
        <x:v>0</x:v>
      </x:c>
      <x:c r="N164" s="33" t="str">
        <x:v>True</x:v>
      </x:c>
      <x:c r="O164" s="45" t="n">
        <x:v>4</x:v>
      </x:c>
    </x:row>
    <x:row r="165">
      <x:c r="A165" s="33" t="str">
        <x:v>IV</x:v>
      </x:c>
      <x:c r="B165" s="33" t="str">
        <x:v>E20-E35</x:v>
      </x:c>
      <x:c r="C165" s="51" t="str">
        <x:v>Нарушения других эндокринных желез</x:v>
      </x:c>
      <x:c r="D165" s="33" t="str">
        <x:v>E23</x:v>
      </x:c>
      <x:c r="E165" s="39" t="n">
        <x:v>1</x:v>
      </x:c>
      <x:c r="F165" s="45" t="n">
        <x:v>65</x:v>
      </x:c>
      <x:c r="G165" s="45" t="n">
        <x:v>65</x:v>
      </x:c>
      <x:c r="H165" s="45" t="n">
        <x:v>65</x:v>
      </x:c>
      <x:c r="I165" s="45" t="n">
        <x:v>65</x:v>
      </x:c>
      <x:c r="J165" s="45" t="n">
        <x:v>65</x:v>
      </x:c>
      <x:c r="K165" s="45" t="n">
        <x:v>65</x:v>
      </x:c>
      <x:c r="L165" s="51" t="str">
        <x:v>Гипопитуитаризм</x:v>
      </x:c>
      <x:c r="M165" s="45" t="n">
        <x:v>0</x:v>
      </x:c>
      <x:c r="N165" s="33" t="str">
        <x:v>True</x:v>
      </x:c>
      <x:c r="O165" s="45" t="n">
        <x:v>4</x:v>
      </x:c>
    </x:row>
    <x:row r="166">
      <x:c r="A166" s="33" t="str">
        <x:v>IV</x:v>
      </x:c>
      <x:c r="B166" s="33" t="str">
        <x:v>E20-E35</x:v>
      </x:c>
      <x:c r="C166" s="51" t="str">
        <x:v>Нарушения других эндокринных желез</x:v>
      </x:c>
      <x:c r="D166" s="33" t="str">
        <x:v>E26</x:v>
      </x:c>
      <x:c r="E166" s="39" t="n">
        <x:v>1</x:v>
      </x:c>
      <x:c r="F166" s="45" t="n">
        <x:v>86</x:v>
      </x:c>
      <x:c r="G166" s="45" t="n">
        <x:v>86</x:v>
      </x:c>
      <x:c r="H166" s="45" t="n">
        <x:v>86</x:v>
      </x:c>
      <x:c r="I166" s="45" t="n">
        <x:v>86</x:v>
      </x:c>
      <x:c r="J166" s="45" t="n">
        <x:v>86</x:v>
      </x:c>
      <x:c r="K166" s="45" t="n">
        <x:v>86</x:v>
      </x:c>
      <x:c r="L166" s="51" t="str">
        <x:v>Первичный гиперальдостеронизм</x:v>
      </x:c>
      <x:c r="M166" s="45" t="n">
        <x:v>0</x:v>
      </x:c>
      <x:c r="N166" s="33" t="str">
        <x:v>True</x:v>
      </x:c>
      <x:c r="O166" s="45" t="n">
        <x:v>4</x:v>
      </x:c>
    </x:row>
    <x:row r="167">
      <x:c r="A167" s="33" t="str">
        <x:v>IV</x:v>
      </x:c>
      <x:c r="B167" s="33" t="str">
        <x:v>E40-E46</x:v>
      </x:c>
      <x:c r="C167" s="51" t="str">
        <x:v>Недостаточность питания</x:v>
      </x:c>
      <x:c r="D167" s="33" t="str">
        <x:v>E43</x:v>
      </x:c>
      <x:c r="E167" s="39" t="n">
        <x:v>5</x:v>
      </x:c>
      <x:c r="F167" s="45" t="n">
        <x:v>74</x:v>
      </x:c>
      <x:c r="G167" s="45" t="n">
        <x:v>67</x:v>
      </x:c>
      <x:c r="H167" s="45" t="n">
        <x:v>75</x:v>
      </x:c>
      <x:c r="I167" s="45" t="n">
        <x:v>72</x:v>
      </x:c>
      <x:c r="J167" s="45" t="n">
        <x:v>65</x:v>
      </x:c>
      <x:c r="K167" s="45" t="n">
        <x:v>79</x:v>
      </x:c>
      <x:c r="L167" s="51" t="str">
        <x:v>Выраженная белково-энергетическая недостаточность</x:v>
      </x:c>
      <x:c r="M167" s="45" t="n">
        <x:v>8</x:v>
      </x:c>
      <x:c r="N167" s="33" t="str">
        <x:v>False</x:v>
      </x:c>
      <x:c r="O167" s="45" t="n">
        <x:v>4</x:v>
      </x:c>
    </x:row>
    <x:row r="168">
      <x:c r="A168" s="33" t="str">
        <x:v>IV</x:v>
      </x:c>
      <x:c r="B168" s="33" t="str">
        <x:v>E40-E46</x:v>
      </x:c>
      <x:c r="C168" s="51" t="str">
        <x:v>Недостаточность питания</x:v>
      </x:c>
      <x:c r="D168" s="33" t="str">
        <x:v>E44</x:v>
      </x:c>
      <x:c r="E168" s="39" t="n">
        <x:v>1</x:v>
      </x:c>
      <x:c r="F168" s="45" t="n">
        <x:v>70</x:v>
      </x:c>
      <x:c r="G168" s="45" t="n">
        <x:v>70</x:v>
      </x:c>
      <x:c r="H168" s="45" t="n">
        <x:v>70</x:v>
      </x:c>
      <x:c r="I168" s="45" t="n">
        <x:v>70</x:v>
      </x:c>
      <x:c r="J168" s="45" t="n">
        <x:v>70</x:v>
      </x:c>
      <x:c r="K168" s="45" t="n">
        <x:v>70</x:v>
      </x:c>
      <x:c r="L168" s="51" t="str">
        <x:v>Умеренная белково-энергетическая недостаточность</x:v>
      </x:c>
      <x:c r="M168" s="45" t="n">
        <x:v>0</x:v>
      </x:c>
      <x:c r="N168" s="33" t="str">
        <x:v>True</x:v>
      </x:c>
      <x:c r="O168" s="45" t="n">
        <x:v>4</x:v>
      </x:c>
    </x:row>
    <x:row r="169">
      <x:c r="A169" s="33" t="str">
        <x:v>IV</x:v>
      </x:c>
      <x:c r="B169" s="33" t="str">
        <x:v>E50-E64</x:v>
      </x:c>
      <x:c r="C169" s="51" t="str">
        <x:v>Другие виды недостаточности питания</x:v>
      </x:c>
      <x:c r="D169" s="33" t="str">
        <x:v>E51</x:v>
      </x:c>
      <x:c r="E169" s="39" t="n">
        <x:v>5</x:v>
      </x:c>
      <x:c r="F169" s="45" t="n">
        <x:v>69</x:v>
      </x:c>
      <x:c r="G169" s="45" t="n">
        <x:v>69</x:v>
      </x:c>
      <x:c r="H169" s="45" t="n">
        <x:v>71</x:v>
      </x:c>
      <x:c r="I169" s="45" t="n">
        <x:v>67.8</x:v>
      </x:c>
      <x:c r="J169" s="45" t="n">
        <x:v>56</x:v>
      </x:c>
      <x:c r="K169" s="45" t="n">
        <x:v>74</x:v>
      </x:c>
      <x:c r="L169" s="51" t="str">
        <x:v>Болезнь Вернике</x:v>
      </x:c>
      <x:c r="M169" s="45" t="n">
        <x:v>2</x:v>
      </x:c>
      <x:c r="N169" s="33" t="str">
        <x:v>False</x:v>
      </x:c>
      <x:c r="O169" s="45" t="n">
        <x:v>4</x:v>
      </x:c>
    </x:row>
    <x:row r="170">
      <x:c r="A170" s="33" t="str">
        <x:v>IV</x:v>
      </x:c>
      <x:c r="B170" s="33" t="str">
        <x:v>E65-E68</x:v>
      </x:c>
      <x:c r="C170" s="51" t="str">
        <x:v>Ожирение и другие виды избыточности питания</x:v>
      </x:c>
      <x:c r="D170" s="33" t="str">
        <x:v>E66</x:v>
      </x:c>
      <x:c r="E170" s="39" t="n">
        <x:v>17</x:v>
      </x:c>
      <x:c r="F170" s="45" t="n">
        <x:v>64</x:v>
      </x:c>
      <x:c r="G170" s="45" t="n">
        <x:v>61</x:v>
      </x:c>
      <x:c r="H170" s="45" t="n">
        <x:v>67</x:v>
      </x:c>
      <x:c r="I170" s="45" t="n">
        <x:v>60.705882352941174</x:v>
      </x:c>
      <x:c r="J170" s="45" t="n">
        <x:v>27</x:v>
      </x:c>
      <x:c r="K170" s="45" t="n">
        <x:v>74</x:v>
      </x:c>
      <x:c r="L170" s="51" t="str">
        <x:v>Крайняя степень ожирения, сопровождаемая альвеолярной гиповентиляцией</x:v>
      </x:c>
      <x:c r="M170" s="45" t="n">
        <x:v>6</x:v>
      </x:c>
      <x:c r="N170" s="33" t="str">
        <x:v>False</x:v>
      </x:c>
      <x:c r="O170" s="45" t="n">
        <x:v>4</x:v>
      </x:c>
    </x:row>
    <x:row r="171">
      <x:c r="A171" s="33" t="str">
        <x:v>IV</x:v>
      </x:c>
      <x:c r="B171" s="33" t="str">
        <x:v>E65-E68</x:v>
      </x:c>
      <x:c r="C171" s="51" t="str">
        <x:v>Ожирение и другие виды избыточности питания</x:v>
      </x:c>
      <x:c r="D171" s="33" t="str">
        <x:v>E68</x:v>
      </x:c>
      <x:c r="E171" s="39" t="n">
        <x:v>2</x:v>
      </x:c>
      <x:c r="F171" s="45" t="n">
        <x:v>61</x:v>
      </x:c>
      <x:c r="G171" s="45" t="n">
        <x:v>57.5</x:v>
      </x:c>
      <x:c r="H171" s="45" t="n">
        <x:v>64.5</x:v>
      </x:c>
      <x:c r="I171" s="45" t="n">
        <x:v>61</x:v>
      </x:c>
      <x:c r="J171" s="45" t="n">
        <x:v>54</x:v>
      </x:c>
      <x:c r="K171" s="45" t="n">
        <x:v>68</x:v>
      </x:c>
      <x:c r="L171" s="51" t="str">
        <x:v>Последствия гиперфагии</x:v>
      </x:c>
      <x:c r="M171" s="45" t="n">
        <x:v>7</x:v>
      </x:c>
      <x:c r="N171" s="33" t="str">
        <x:v>True</x:v>
      </x:c>
      <x:c r="O171" s="45" t="n">
        <x:v>4</x:v>
      </x:c>
    </x:row>
    <x:row r="172">
      <x:c r="A172" s="33" t="str">
        <x:v>IV</x:v>
      </x:c>
      <x:c r="B172" s="33" t="str">
        <x:v>E70-E90</x:v>
      </x:c>
      <x:c r="C172" s="51" t="str">
        <x:v>Нарушения обмена веществ</x:v>
      </x:c>
      <x:c r="D172" s="33" t="str">
        <x:v>E71</x:v>
      </x:c>
      <x:c r="E172" s="39" t="n">
        <x:v>1</x:v>
      </x:c>
      <x:c r="F172" s="45" t="n">
        <x:v>1</x:v>
      </x:c>
      <x:c r="G172" s="45" t="n">
        <x:v>1</x:v>
      </x:c>
      <x:c r="H172" s="45" t="n">
        <x:v>1</x:v>
      </x:c>
      <x:c r="I172" s="45" t="n">
        <x:v>1</x:v>
      </x:c>
      <x:c r="J172" s="45" t="n">
        <x:v>1</x:v>
      </x:c>
      <x:c r="K172" s="45" t="n">
        <x:v>1</x:v>
      </x:c>
      <x:c r="L172" s="51" t="str">
        <x:v>Другие виды нарушений обмена аминокислот с разветвленной цепью</x:v>
      </x:c>
      <x:c r="M172" s="45" t="n">
        <x:v>0</x:v>
      </x:c>
      <x:c r="N172" s="33" t="str">
        <x:v>True</x:v>
      </x:c>
      <x:c r="O172" s="45" t="n">
        <x:v>4</x:v>
      </x:c>
    </x:row>
    <x:row r="173">
      <x:c r="A173" s="33" t="str">
        <x:v>IV</x:v>
      </x:c>
      <x:c r="B173" s="33" t="str">
        <x:v>E70-E90</x:v>
      </x:c>
      <x:c r="C173" s="51" t="str">
        <x:v>Нарушения обмена веществ</x:v>
      </x:c>
      <x:c r="D173" s="33" t="str">
        <x:v>E72</x:v>
      </x:c>
      <x:c r="E173" s="39" t="n">
        <x:v>1</x:v>
      </x:c>
      <x:c r="F173" s="45" t="n">
        <x:v>10</x:v>
      </x:c>
      <x:c r="G173" s="45" t="n">
        <x:v>10</x:v>
      </x:c>
      <x:c r="H173" s="45" t="n">
        <x:v>10</x:v>
      </x:c>
      <x:c r="I173" s="45" t="n">
        <x:v>10</x:v>
      </x:c>
      <x:c r="J173" s="45" t="n">
        <x:v>10</x:v>
      </x:c>
      <x:c r="K173" s="45" t="n">
        <x:v>10</x:v>
      </x:c>
      <x:c r="L173" s="51" t="str">
        <x:v>Нарушения транспорта аминокислот</x:v>
      </x:c>
      <x:c r="M173" s="45" t="n">
        <x:v>0</x:v>
      </x:c>
      <x:c r="N173" s="33" t="str">
        <x:v>True</x:v>
      </x:c>
      <x:c r="O173" s="45" t="n">
        <x:v>4</x:v>
      </x:c>
    </x:row>
    <x:row r="174">
      <x:c r="A174" s="33" t="str">
        <x:v>IV</x:v>
      </x:c>
      <x:c r="B174" s="33" t="str">
        <x:v>E70-E90</x:v>
      </x:c>
      <x:c r="C174" s="51" t="str">
        <x:v>Нарушения обмена веществ</x:v>
      </x:c>
      <x:c r="D174" s="33" t="str">
        <x:v>E74</x:v>
      </x:c>
      <x:c r="E174" s="39" t="n">
        <x:v>1</x:v>
      </x:c>
      <x:c r="F174" s="45" t="n">
        <x:v>64</x:v>
      </x:c>
      <x:c r="G174" s="45" t="n">
        <x:v>64</x:v>
      </x:c>
      <x:c r="H174" s="45" t="n">
        <x:v>64</x:v>
      </x:c>
      <x:c r="I174" s="45" t="n">
        <x:v>64</x:v>
      </x:c>
      <x:c r="J174" s="45" t="n">
        <x:v>64</x:v>
      </x:c>
      <x:c r="K174" s="45" t="n">
        <x:v>64</x:v>
      </x:c>
      <x:c r="L174" s="51" t="str">
        <x:v>Другие нарушения углеводного обмена</x:v>
      </x:c>
      <x:c r="M174" s="45" t="n">
        <x:v>0</x:v>
      </x:c>
      <x:c r="N174" s="33" t="str">
        <x:v>True</x:v>
      </x:c>
      <x:c r="O174" s="45" t="n">
        <x:v>4</x:v>
      </x:c>
    </x:row>
    <x:row r="175">
      <x:c r="A175" s="33" t="str">
        <x:v>IV</x:v>
      </x:c>
      <x:c r="B175" s="33" t="str">
        <x:v>E70-E90</x:v>
      </x:c>
      <x:c r="C175" s="51" t="str">
        <x:v>Нарушения обмена веществ</x:v>
      </x:c>
      <x:c r="D175" s="33" t="str">
        <x:v>E75</x:v>
      </x:c>
      <x:c r="E175" s="39" t="n">
        <x:v>2</x:v>
      </x:c>
      <x:c r="F175" s="45" t="n">
        <x:v>18</x:v>
      </x:c>
      <x:c r="G175" s="45" t="n">
        <x:v>10</x:v>
      </x:c>
      <x:c r="H175" s="45" t="n">
        <x:v>26</x:v>
      </x:c>
      <x:c r="I175" s="45" t="n">
        <x:v>18</x:v>
      </x:c>
      <x:c r="J175" s="45" t="n">
        <x:v>2</x:v>
      </x:c>
      <x:c r="K175" s="45" t="n">
        <x:v>34</x:v>
      </x:c>
      <x:c r="L175" s="51" t="str">
        <x:v>Другие ганглиозидозы</x:v>
      </x:c>
      <x:c r="M175" s="45" t="n">
        <x:v>16</x:v>
      </x:c>
      <x:c r="N175" s="33" t="str">
        <x:v>True</x:v>
      </x:c>
      <x:c r="O175" s="45" t="n">
        <x:v>4</x:v>
      </x:c>
    </x:row>
    <x:row r="176">
      <x:c r="A176" s="33" t="str">
        <x:v>IV</x:v>
      </x:c>
      <x:c r="B176" s="33" t="str">
        <x:v>E70-E90</x:v>
      </x:c>
      <x:c r="C176" s="51" t="str">
        <x:v>Нарушения обмена веществ</x:v>
      </x:c>
      <x:c r="D176" s="33" t="str">
        <x:v>E76</x:v>
      </x:c>
      <x:c r="E176" s="39" t="n">
        <x:v>1</x:v>
      </x:c>
      <x:c r="F176" s="45" t="n">
        <x:v>3</x:v>
      </x:c>
      <x:c r="G176" s="45" t="n">
        <x:v>3</x:v>
      </x:c>
      <x:c r="H176" s="45" t="n">
        <x:v>3</x:v>
      </x:c>
      <x:c r="I176" s="45" t="n">
        <x:v>3</x:v>
      </x:c>
      <x:c r="J176" s="45" t="n">
        <x:v>3</x:v>
      </x:c>
      <x:c r="K176" s="45" t="n">
        <x:v>3</x:v>
      </x:c>
      <x:c r="L176" s="51" t="str">
        <x:v>Муковисцидоз</x:v>
      </x:c>
      <x:c r="M176" s="45" t="n">
        <x:v>0</x:v>
      </x:c>
      <x:c r="N176" s="33" t="str">
        <x:v>True</x:v>
      </x:c>
      <x:c r="O176" s="45" t="n">
        <x:v>4</x:v>
      </x:c>
    </x:row>
    <x:row r="177">
      <x:c r="A177" s="33" t="str">
        <x:v>IV</x:v>
      </x:c>
      <x:c r="B177" s="33" t="str">
        <x:v>E70-E90</x:v>
      </x:c>
      <x:c r="C177" s="51" t="str">
        <x:v>Нарушения обмена веществ</x:v>
      </x:c>
      <x:c r="D177" s="33" t="str">
        <x:v>E78</x:v>
      </x:c>
      <x:c r="E177" s="39" t="n">
        <x:v>1</x:v>
      </x:c>
      <x:c r="F177" s="45" t="n">
        <x:v>32</x:v>
      </x:c>
      <x:c r="G177" s="45" t="n">
        <x:v>32</x:v>
      </x:c>
      <x:c r="H177" s="45" t="n">
        <x:v>32</x:v>
      </x:c>
      <x:c r="I177" s="45" t="n">
        <x:v>32</x:v>
      </x:c>
      <x:c r="J177" s="45" t="n">
        <x:v>32</x:v>
      </x:c>
      <x:c r="K177" s="45" t="n">
        <x:v>32</x:v>
      </x:c>
      <x:c r="L177" s="51" t="str">
        <x:v>Чистая гиперхолестеринемия</x:v>
      </x:c>
      <x:c r="M177" s="45" t="n">
        <x:v>0</x:v>
      </x:c>
      <x:c r="N177" s="33" t="str">
        <x:v>True</x:v>
      </x:c>
      <x:c r="O177" s="45" t="n">
        <x:v>4</x:v>
      </x:c>
    </x:row>
    <x:row r="178">
      <x:c r="A178" s="33" t="str">
        <x:v>IV</x:v>
      </x:c>
      <x:c r="B178" s="33" t="str">
        <x:v>E70-E90</x:v>
      </x:c>
      <x:c r="C178" s="51" t="str">
        <x:v>Нарушения обмена веществ</x:v>
      </x:c>
      <x:c r="D178" s="33" t="str">
        <x:v>E83</x:v>
      </x:c>
      <x:c r="E178" s="39" t="n">
        <x:v>1</x:v>
      </x:c>
      <x:c r="F178" s="45" t="n">
        <x:v>70</x:v>
      </x:c>
      <x:c r="G178" s="45" t="n">
        <x:v>70</x:v>
      </x:c>
      <x:c r="H178" s="45" t="n">
        <x:v>70</x:v>
      </x:c>
      <x:c r="I178" s="45" t="n">
        <x:v>70</x:v>
      </x:c>
      <x:c r="J178" s="45" t="n">
        <x:v>70</x:v>
      </x:c>
      <x:c r="K178" s="45" t="n">
        <x:v>70</x:v>
      </x:c>
      <x:c r="L178" s="51" t="str">
        <x:v>Нарушения обмена меди</x:v>
      </x:c>
      <x:c r="M178" s="45" t="n">
        <x:v>0</x:v>
      </x:c>
      <x:c r="N178" s="33" t="str">
        <x:v>True</x:v>
      </x:c>
      <x:c r="O178" s="45" t="n">
        <x:v>4</x:v>
      </x:c>
    </x:row>
    <x:row r="179">
      <x:c r="A179" s="33" t="str">
        <x:v>IV</x:v>
      </x:c>
      <x:c r="B179" s="33" t="str">
        <x:v>E70-E90</x:v>
      </x:c>
      <x:c r="C179" s="51" t="str">
        <x:v>Нарушения обмена веществ</x:v>
      </x:c>
      <x:c r="D179" s="33" t="str">
        <x:v>E84</x:v>
      </x:c>
      <x:c r="E179" s="39" t="n">
        <x:v>4</x:v>
      </x:c>
      <x:c r="F179" s="45" t="n">
        <x:v>12</x:v>
      </x:c>
      <x:c r="G179" s="45" t="n">
        <x:v>8</x:v>
      </x:c>
      <x:c r="H179" s="45" t="n">
        <x:v>16.75</x:v>
      </x:c>
      <x:c r="I179" s="45" t="n">
        <x:v>12.75</x:v>
      </x:c>
      <x:c r="J179" s="45" t="n">
        <x:v>5</x:v>
      </x:c>
      <x:c r="K179" s="45" t="n">
        <x:v>22</x:v>
      </x:c>
      <x:c r="L179" s="51" t="str">
        <x:v>Кистозный фиброз с другими проявлениями</x:v>
      </x:c>
      <x:c r="M179" s="45" t="n">
        <x:v>8.75</x:v>
      </x:c>
      <x:c r="N179" s="33" t="str">
        <x:v>True</x:v>
      </x:c>
      <x:c r="O179" s="45" t="n">
        <x:v>4</x:v>
      </x:c>
    </x:row>
    <x:row r="180">
      <x:c r="A180" s="33" t="str">
        <x:v>IV</x:v>
      </x:c>
      <x:c r="B180" s="33" t="str">
        <x:v>E70-E90</x:v>
      </x:c>
      <x:c r="C180" s="51" t="str">
        <x:v>Нарушения обмена веществ</x:v>
      </x:c>
      <x:c r="D180" s="33" t="str">
        <x:v>E85</x:v>
      </x:c>
      <x:c r="E180" s="39" t="n">
        <x:v>2</x:v>
      </x:c>
      <x:c r="F180" s="45" t="n">
        <x:v>42</x:v>
      </x:c>
      <x:c r="G180" s="45" t="n">
        <x:v>41</x:v>
      </x:c>
      <x:c r="H180" s="45" t="n">
        <x:v>43</x:v>
      </x:c>
      <x:c r="I180" s="45" t="n">
        <x:v>42</x:v>
      </x:c>
      <x:c r="J180" s="45" t="n">
        <x:v>40</x:v>
      </x:c>
      <x:c r="K180" s="45" t="n">
        <x:v>44</x:v>
      </x:c>
      <x:c r="L180" s="51" t="str">
        <x:v>Амилоидоз неуточненный</x:v>
      </x:c>
      <x:c r="M180" s="45" t="n">
        <x:v>2</x:v>
      </x:c>
      <x:c r="N180" s="33" t="str">
        <x:v>True</x:v>
      </x:c>
      <x:c r="O180" s="45" t="n">
        <x:v>4</x:v>
      </x:c>
    </x:row>
    <x:row r="181">
      <x:c r="A181" s="33" t="str">
        <x:v>V</x:v>
      </x:c>
      <x:c r="B181" s="33" t="str">
        <x:v>F00-F09</x:v>
      </x:c>
      <x:c r="C181" s="51" t="str">
        <x:v>Органические, включая симптоматические, психические расстройства</x:v>
      </x:c>
      <x:c r="D181" s="33" t="str">
        <x:v>F01</x:v>
      </x:c>
      <x:c r="E181" s="39" t="n">
        <x:v>304</x:v>
      </x:c>
      <x:c r="F181" s="45" t="n">
        <x:v>80</x:v>
      </x:c>
      <x:c r="G181" s="45" t="n">
        <x:v>72</x:v>
      </x:c>
      <x:c r="H181" s="45" t="n">
        <x:v>86</x:v>
      </x:c>
      <x:c r="I181" s="45" t="n">
        <x:v>78.57565789473684</x:v>
      </x:c>
      <x:c r="J181" s="45" t="n">
        <x:v>48</x:v>
      </x:c>
      <x:c r="K181" s="45" t="n">
        <x:v>99</x:v>
      </x:c>
      <x:c r="L181" s="51" t="str">
        <x:v>Смешанная корковая и подкорковая сосудистая деменция</x:v>
      </x:c>
      <x:c r="M181" s="45" t="n">
        <x:v>14</x:v>
      </x:c>
      <x:c r="N181" s="33" t="str">
        <x:v>False</x:v>
      </x:c>
      <x:c r="O181" s="45" t="n">
        <x:v>5</x:v>
      </x:c>
    </x:row>
    <x:row r="182">
      <x:c r="A182" s="33" t="str">
        <x:v>V</x:v>
      </x:c>
      <x:c r="B182" s="33" t="str">
        <x:v>F00-F09</x:v>
      </x:c>
      <x:c r="C182" s="51" t="str">
        <x:v>Органические, включая симптоматические, психические расстройства</x:v>
      </x:c>
      <x:c r="D182" s="33" t="str">
        <x:v>F03</x:v>
      </x:c>
      <x:c r="E182" s="39" t="n">
        <x:v>7</x:v>
      </x:c>
      <x:c r="F182" s="45" t="n">
        <x:v>84</x:v>
      </x:c>
      <x:c r="G182" s="45" t="n">
        <x:v>77.5</x:v>
      </x:c>
      <x:c r="H182" s="45" t="n">
        <x:v>88</x:v>
      </x:c>
      <x:c r="I182" s="45" t="n">
        <x:v>82.85714285714286</x:v>
      </x:c>
      <x:c r="J182" s="45" t="n">
        <x:v>70</x:v>
      </x:c>
      <x:c r="K182" s="45" t="n">
        <x:v>95</x:v>
      </x:c>
      <x:c r="L182" s="51" t="str">
        <x:v>Деменция неуточненная</x:v>
      </x:c>
      <x:c r="M182" s="45" t="n">
        <x:v>10.5</x:v>
      </x:c>
      <x:c r="N182" s="33" t="str">
        <x:v>False</x:v>
      </x:c>
      <x:c r="O182" s="45" t="n">
        <x:v>5</x:v>
      </x:c>
    </x:row>
    <x:row r="183">
      <x:c r="A183" s="33" t="str">
        <x:v>V</x:v>
      </x:c>
      <x:c r="B183" s="33" t="str">
        <x:v>F00-F09</x:v>
      </x:c>
      <x:c r="C183" s="51" t="str">
        <x:v>Органические, включая симптоматические, психические расстройства</x:v>
      </x:c>
      <x:c r="D183" s="33" t="str">
        <x:v>F07</x:v>
      </x:c>
      <x:c r="E183" s="39" t="n">
        <x:v>2</x:v>
      </x:c>
      <x:c r="F183" s="45" t="n">
        <x:v>68</x:v>
      </x:c>
      <x:c r="G183" s="45" t="n">
        <x:v>65</x:v>
      </x:c>
      <x:c r="H183" s="45" t="n">
        <x:v>71</x:v>
      </x:c>
      <x:c r="I183" s="45" t="n">
        <x:v>68</x:v>
      </x:c>
      <x:c r="J183" s="45" t="n">
        <x:v>62</x:v>
      </x:c>
      <x:c r="K183" s="45" t="n">
        <x:v>74</x:v>
      </x:c>
      <x:c r="L183" s="51" t="str">
        <x:v>Органическое расстройство личности и поведения, обусловленное болезнью, повреждением или дисфункцией головного мозга, неуточненное</x:v>
      </x:c>
      <x:c r="M183" s="45" t="n">
        <x:v>6</x:v>
      </x:c>
      <x:c r="N183" s="33" t="str">
        <x:v>True</x:v>
      </x:c>
      <x:c r="O183" s="45" t="n">
        <x:v>5</x:v>
      </x:c>
    </x:row>
    <x:row r="184">
      <x:c r="A184" s="33" t="str">
        <x:v>V</x:v>
      </x:c>
      <x:c r="B184" s="33" t="str">
        <x:v>F10-F19</x:v>
      </x:c>
      <x:c r="C184" s="51" t="str">
        <x:v>Психические расстройства и расстройства поведения, связанные с употреблением психоактивных веществ</x:v>
      </x:c>
      <x:c r="D184" s="33" t="str">
        <x:v>F10</x:v>
      </x:c>
      <x:c r="E184" s="39" t="n">
        <x:v>87</x:v>
      </x:c>
      <x:c r="F184" s="45" t="n">
        <x:v>57</x:v>
      </x:c>
      <x:c r="G184" s="45" t="n">
        <x:v>50</x:v>
      </x:c>
      <x:c r="H184" s="45" t="n">
        <x:v>63</x:v>
      </x:c>
      <x:c r="I184" s="45" t="n">
        <x:v>56.310344827586206</x:v>
      </x:c>
      <x:c r="J184" s="45" t="n">
        <x:v>22</x:v>
      </x:c>
      <x:c r="K184" s="45" t="n">
        <x:v>86</x:v>
      </x:c>
      <x:c r="L184" s="51" t="str">
        <x:v>Алкогольная зависимость</x:v>
      </x:c>
      <x:c r="M184" s="45" t="n">
        <x:v>13</x:v>
      </x:c>
      <x:c r="N184" s="33" t="str">
        <x:v>False</x:v>
      </x:c>
      <x:c r="O184" s="45" t="n">
        <x:v>5</x:v>
      </x:c>
    </x:row>
    <x:row r="185">
      <x:c r="A185" s="33" t="str">
        <x:v>V</x:v>
      </x:c>
      <x:c r="B185" s="33" t="str">
        <x:v>F10-F19</x:v>
      </x:c>
      <x:c r="C185" s="51" t="str">
        <x:v>Психические расстройства и расстройства поведения, связанные с употреблением психоактивных веществ</x:v>
      </x:c>
      <x:c r="D185" s="33" t="str">
        <x:v>F11</x:v>
      </x:c>
      <x:c r="E185" s="39" t="n">
        <x:v>3</x:v>
      </x:c>
      <x:c r="F185" s="45" t="n">
        <x:v>41</x:v>
      </x:c>
      <x:c r="G185" s="45" t="n">
        <x:v>36</x:v>
      </x:c>
      <x:c r="H185" s="45" t="n">
        <x:v>43</x:v>
      </x:c>
      <x:c r="I185" s="45" t="n">
        <x:v>39</x:v>
      </x:c>
      <x:c r="J185" s="45" t="n">
        <x:v>31</x:v>
      </x:c>
      <x:c r="K185" s="45" t="n">
        <x:v>45</x:v>
      </x:c>
      <x:c r="L185" s="51" t="str">
        <x:v>Зависимость от опиоидов</x:v>
      </x:c>
      <x:c r="M185" s="45" t="n">
        <x:v>7</x:v>
      </x:c>
      <x:c r="N185" s="33" t="str">
        <x:v>True</x:v>
      </x:c>
      <x:c r="O185" s="45" t="n">
        <x:v>5</x:v>
      </x:c>
    </x:row>
    <x:row r="186">
      <x:c r="A186" s="33" t="str">
        <x:v>V</x:v>
      </x:c>
      <x:c r="B186" s="33" t="str">
        <x:v>F20-F29</x:v>
      </x:c>
      <x:c r="C186" s="51" t="str">
        <x:v>Шизофрения, шизотипические и бредовые расстройства</x:v>
      </x:c>
      <x:c r="D186" s="33" t="str">
        <x:v>F20</x:v>
      </x:c>
      <x:c r="E186" s="39" t="n">
        <x:v>1</x:v>
      </x:c>
      <x:c r="F186" s="45" t="n">
        <x:v>73</x:v>
      </x:c>
      <x:c r="G186" s="45" t="n">
        <x:v>73</x:v>
      </x:c>
      <x:c r="H186" s="45" t="n">
        <x:v>73</x:v>
      </x:c>
      <x:c r="I186" s="45" t="n">
        <x:v>73</x:v>
      </x:c>
      <x:c r="J186" s="45" t="n">
        <x:v>73</x:v>
      </x:c>
      <x:c r="K186" s="45" t="n">
        <x:v>73</x:v>
      </x:c>
      <x:c r="L186" s="51" t="str">
        <x:v>Параноидная шизофрения</x:v>
      </x:c>
      <x:c r="M186" s="45" t="n">
        <x:v>0</x:v>
      </x:c>
      <x:c r="N186" s="33" t="str">
        <x:v>True</x:v>
      </x:c>
      <x:c r="O186" s="45" t="n">
        <x:v>5</x:v>
      </x:c>
    </x:row>
    <x:row r="187">
      <x:c r="A187" s="33" t="str">
        <x:v>V</x:v>
      </x:c>
      <x:c r="B187" s="33" t="str">
        <x:v>F70-F79</x:v>
      </x:c>
      <x:c r="C187" s="51" t="str">
        <x:v>Умственная отсталость</x:v>
      </x:c>
      <x:c r="D187" s="33" t="str">
        <x:v>F79</x:v>
      </x:c>
      <x:c r="E187" s="39" t="n">
        <x:v>1</x:v>
      </x:c>
      <x:c r="F187" s="45" t="n">
        <x:v>28</x:v>
      </x:c>
      <x:c r="G187" s="45" t="n">
        <x:v>28</x:v>
      </x:c>
      <x:c r="H187" s="45" t="n">
        <x:v>28</x:v>
      </x:c>
      <x:c r="I187" s="45" t="n">
        <x:v>28</x:v>
      </x:c>
      <x:c r="J187" s="45" t="n">
        <x:v>28</x:v>
      </x:c>
      <x:c r="K187" s="45" t="n">
        <x:v>28</x:v>
      </x:c>
      <x:c r="L187" s="51" t="str">
        <x:v>Умственная отсталость неуточненная</x:v>
      </x:c>
      <x:c r="M187" s="45" t="n">
        <x:v>0</x:v>
      </x:c>
      <x:c r="N187" s="33" t="str">
        <x:v>True</x:v>
      </x:c>
      <x:c r="O187" s="45" t="n">
        <x:v>5</x:v>
      </x:c>
    </x:row>
    <x:row r="188">
      <x:c r="A188" s="33" t="str">
        <x:v>VI</x:v>
      </x:c>
      <x:c r="B188" s="33" t="str">
        <x:v>G00-G09</x:v>
      </x:c>
      <x:c r="C188" s="51" t="str">
        <x:v>Воспалительные болезни центральной нервной ситемы</x:v>
      </x:c>
      <x:c r="D188" s="33" t="str">
        <x:v>G00</x:v>
      </x:c>
      <x:c r="E188" s="39" t="n">
        <x:v>28</x:v>
      </x:c>
      <x:c r="F188" s="45" t="n">
        <x:v>56</x:v>
      </x:c>
      <x:c r="G188" s="45" t="n">
        <x:v>41.75</x:v>
      </x:c>
      <x:c r="H188" s="45" t="n">
        <x:v>66.75</x:v>
      </x:c>
      <x:c r="I188" s="45" t="n">
        <x:v>54.67857142857143</x:v>
      </x:c>
      <x:c r="J188" s="45" t="n">
        <x:v>2</x:v>
      </x:c>
      <x:c r="K188" s="45" t="n">
        <x:v>92</x:v>
      </x:c>
      <x:c r="L188" s="51" t="str">
        <x:v>Бактериальный менингит неуточненный</x:v>
      </x:c>
      <x:c r="M188" s="45" t="n">
        <x:v>25</x:v>
      </x:c>
      <x:c r="N188" s="33" t="str">
        <x:v>False</x:v>
      </x:c>
      <x:c r="O188" s="45" t="n">
        <x:v>6</x:v>
      </x:c>
    </x:row>
    <x:row r="189">
      <x:c r="A189" s="33" t="str">
        <x:v>VI</x:v>
      </x:c>
      <x:c r="B189" s="33" t="str">
        <x:v>G00-G09</x:v>
      </x:c>
      <x:c r="C189" s="51" t="str">
        <x:v>Воспалительные болезни центральной нервной ситемы</x:v>
      </x:c>
      <x:c r="D189" s="33" t="str">
        <x:v>G03</x:v>
      </x:c>
      <x:c r="E189" s="39" t="n">
        <x:v>8</x:v>
      </x:c>
      <x:c r="F189" s="45" t="n">
        <x:v>52.5</x:v>
      </x:c>
      <x:c r="G189" s="45" t="n">
        <x:v>38.5</x:v>
      </x:c>
      <x:c r="H189" s="45" t="n">
        <x:v>70</x:v>
      </x:c>
      <x:c r="I189" s="45" t="n">
        <x:v>53.75</x:v>
      </x:c>
      <x:c r="J189" s="45" t="n">
        <x:v>34</x:v>
      </x:c>
      <x:c r="K189" s="45" t="n">
        <x:v>73</x:v>
      </x:c>
      <x:c r="L189" s="51" t="str">
        <x:v>Менингит, вызванный другими уточненными возбудителями</x:v>
      </x:c>
      <x:c r="M189" s="45" t="n">
        <x:v>31.5</x:v>
      </x:c>
      <x:c r="N189" s="33" t="str">
        <x:v>False</x:v>
      </x:c>
      <x:c r="O189" s="45" t="n">
        <x:v>6</x:v>
      </x:c>
    </x:row>
    <x:row r="190">
      <x:c r="A190" s="33" t="str">
        <x:v>VI</x:v>
      </x:c>
      <x:c r="B190" s="33" t="str">
        <x:v>G00-G09</x:v>
      </x:c>
      <x:c r="C190" s="51" t="str">
        <x:v>Воспалительные болезни центральной нервной ситемы</x:v>
      </x:c>
      <x:c r="D190" s="33" t="str">
        <x:v>G04</x:v>
      </x:c>
      <x:c r="E190" s="39" t="n">
        <x:v>28</x:v>
      </x:c>
      <x:c r="F190" s="45" t="n">
        <x:v>58.5</x:v>
      </x:c>
      <x:c r="G190" s="45" t="n">
        <x:v>39</x:v>
      </x:c>
      <x:c r="H190" s="45" t="n">
        <x:v>68.25</x:v>
      </x:c>
      <x:c r="I190" s="45" t="n">
        <x:v>54.642857142857146</x:v>
      </x:c>
      <x:c r="J190" s="45" t="n">
        <x:v>1</x:v>
      </x:c>
      <x:c r="K190" s="45" t="n">
        <x:v>89</x:v>
      </x:c>
      <x:c r="L190" s="51" t="str">
        <x:v>Бактериальный менингоэнцефалит и менингомиелит, не классифицированный в других рубриках</x:v>
      </x:c>
      <x:c r="M190" s="45" t="n">
        <x:v>29.25</x:v>
      </x:c>
      <x:c r="N190" s="33" t="str">
        <x:v>False</x:v>
      </x:c>
      <x:c r="O190" s="45" t="n">
        <x:v>6</x:v>
      </x:c>
    </x:row>
    <x:row r="191">
      <x:c r="A191" s="33" t="str">
        <x:v>VI</x:v>
      </x:c>
      <x:c r="B191" s="33" t="str">
        <x:v>G00-G09</x:v>
      </x:c>
      <x:c r="C191" s="51" t="str">
        <x:v>Воспалительные болезни центральной нервной ситемы</x:v>
      </x:c>
      <x:c r="D191" s="33" t="str">
        <x:v>G06</x:v>
      </x:c>
      <x:c r="E191" s="39" t="n">
        <x:v>14</x:v>
      </x:c>
      <x:c r="F191" s="45" t="n">
        <x:v>62.5</x:v>
      </x:c>
      <x:c r="G191" s="45" t="n">
        <x:v>46.5</x:v>
      </x:c>
      <x:c r="H191" s="45" t="n">
        <x:v>69.75</x:v>
      </x:c>
      <x:c r="I191" s="45" t="n">
        <x:v>59.714285714285715</x:v>
      </x:c>
      <x:c r="J191" s="45" t="n">
        <x:v>29</x:v>
      </x:c>
      <x:c r="K191" s="45" t="n">
        <x:v>79</x:v>
      </x:c>
      <x:c r="L191" s="51" t="str">
        <x:v>Внутричерепной абсцесс и гранулема</x:v>
      </x:c>
      <x:c r="M191" s="45" t="n">
        <x:v>23.25</x:v>
      </x:c>
      <x:c r="N191" s="33" t="str">
        <x:v>False</x:v>
      </x:c>
      <x:c r="O191" s="45" t="n">
        <x:v>6</x:v>
      </x:c>
    </x:row>
    <x:row r="192">
      <x:c r="A192" s="33" t="str">
        <x:v>VI</x:v>
      </x:c>
      <x:c r="B192" s="33" t="str">
        <x:v>G00-G09</x:v>
      </x:c>
      <x:c r="C192" s="51" t="str">
        <x:v>Воспалительные болезни центральной нервной ситемы</x:v>
      </x:c>
      <x:c r="D192" s="33" t="str">
        <x:v>G08</x:v>
      </x:c>
      <x:c r="E192" s="39" t="n">
        <x:v>1</x:v>
      </x:c>
      <x:c r="F192" s="45" t="n">
        <x:v>67</x:v>
      </x:c>
      <x:c r="G192" s="45" t="n">
        <x:v>67</x:v>
      </x:c>
      <x:c r="H192" s="45" t="n">
        <x:v>67</x:v>
      </x:c>
      <x:c r="I192" s="45" t="n">
        <x:v>67</x:v>
      </x:c>
      <x:c r="J192" s="45" t="n">
        <x:v>67</x:v>
      </x:c>
      <x:c r="K192" s="45" t="n">
        <x:v>67</x:v>
      </x:c>
      <x:c r="L192" s="51" t="str">
        <x:v>Внутричерепной флебит</x:v>
      </x:c>
      <x:c r="M192" s="45" t="n">
        <x:v>0</x:v>
      </x:c>
      <x:c r="N192" s="33" t="str">
        <x:v>True</x:v>
      </x:c>
      <x:c r="O192" s="45" t="n">
        <x:v>6</x:v>
      </x:c>
    </x:row>
    <x:row r="193">
      <x:c r="A193" s="33" t="str">
        <x:v>VI</x:v>
      </x:c>
      <x:c r="B193" s="33" t="str">
        <x:v>G00-G09</x:v>
      </x:c>
      <x:c r="C193" s="51" t="str">
        <x:v>Воспалительные болезни центральной нервной ситемы</x:v>
      </x:c>
      <x:c r="D193" s="33" t="str">
        <x:v>G09</x:v>
      </x:c>
      <x:c r="E193" s="39" t="n">
        <x:v>4</x:v>
      </x:c>
      <x:c r="F193" s="45" t="n">
        <x:v>69.5</x:v>
      </x:c>
      <x:c r="G193" s="45" t="n">
        <x:v>66.25</x:v>
      </x:c>
      <x:c r="H193" s="45" t="n">
        <x:v>71.75</x:v>
      </x:c>
      <x:c r="I193" s="45" t="n">
        <x:v>68.5</x:v>
      </x:c>
      <x:c r="J193" s="45" t="n">
        <x:v>61</x:v>
      </x:c>
      <x:c r="K193" s="45" t="n">
        <x:v>74</x:v>
      </x:c>
      <x:c r="L193" s="51" t="str">
        <x:v>Последствия воспалительных болезней центральной нервной системы</x:v>
      </x:c>
      <x:c r="M193" s="45" t="n">
        <x:v>5.5</x:v>
      </x:c>
      <x:c r="N193" s="33" t="str">
        <x:v>True</x:v>
      </x:c>
      <x:c r="O193" s="45" t="n">
        <x:v>6</x:v>
      </x:c>
    </x:row>
    <x:row r="194">
      <x:c r="A194" s="33" t="str">
        <x:v>VI</x:v>
      </x:c>
      <x:c r="B194" s="33" t="str">
        <x:v>G10-G14</x:v>
      </x:c>
      <x:c r="C194" s="51" t="str">
        <x:v>Системные атрофии, поражающие преимущественно центральную нервную систему</x:v>
      </x:c>
      <x:c r="D194" s="33" t="str">
        <x:v>G10</x:v>
      </x:c>
      <x:c r="E194" s="39" t="n">
        <x:v>5</x:v>
      </x:c>
      <x:c r="F194" s="45" t="n">
        <x:v>60</x:v>
      </x:c>
      <x:c r="G194" s="45" t="n">
        <x:v>57</x:v>
      </x:c>
      <x:c r="H194" s="45" t="n">
        <x:v>61</x:v>
      </x:c>
      <x:c r="I194" s="45" t="n">
        <x:v>58.8</x:v>
      </x:c>
      <x:c r="J194" s="45" t="n">
        <x:v>49</x:v>
      </x:c>
      <x:c r="K194" s="45" t="n">
        <x:v>67</x:v>
      </x:c>
      <x:c r="L194" s="51" t="str">
        <x:v>Болезнь Гентингтона</x:v>
      </x:c>
      <x:c r="M194" s="45" t="n">
        <x:v>4</x:v>
      </x:c>
      <x:c r="N194" s="33" t="str">
        <x:v>False</x:v>
      </x:c>
      <x:c r="O194" s="45" t="n">
        <x:v>6</x:v>
      </x:c>
    </x:row>
    <x:row r="195">
      <x:c r="A195" s="33" t="str">
        <x:v>VI</x:v>
      </x:c>
      <x:c r="B195" s="33" t="str">
        <x:v>G10-G14</x:v>
      </x:c>
      <x:c r="C195" s="51" t="str">
        <x:v>Системные атрофии, поражающие преимущественно центральную нервную систему</x:v>
      </x:c>
      <x:c r="D195" s="33" t="str">
        <x:v>G11</x:v>
      </x:c>
      <x:c r="E195" s="39" t="n">
        <x:v>6</x:v>
      </x:c>
      <x:c r="F195" s="45" t="n">
        <x:v>58</x:v>
      </x:c>
      <x:c r="G195" s="45" t="n">
        <x:v>48.25</x:v>
      </x:c>
      <x:c r="H195" s="45" t="n">
        <x:v>61.75</x:v>
      </x:c>
      <x:c r="I195" s="45" t="n">
        <x:v>54.666666666666664</x:v>
      </x:c>
      <x:c r="J195" s="45" t="n">
        <x:v>38</x:v>
      </x:c>
      <x:c r="K195" s="45" t="n">
        <x:v>66</x:v>
      </x:c>
      <x:c r="L195" s="51" t="str">
        <x:v>Поздняя мозжечковая атаксия</x:v>
      </x:c>
      <x:c r="M195" s="45" t="n">
        <x:v>13.5</x:v>
      </x:c>
      <x:c r="N195" s="33" t="str">
        <x:v>False</x:v>
      </x:c>
      <x:c r="O195" s="45" t="n">
        <x:v>6</x:v>
      </x:c>
    </x:row>
    <x:row r="196">
      <x:c r="A196" s="33" t="str">
        <x:v>VI</x:v>
      </x:c>
      <x:c r="B196" s="33" t="str">
        <x:v>G10-G14</x:v>
      </x:c>
      <x:c r="C196" s="51" t="str">
        <x:v>Системные атрофии, поражающие преимущественно центральную нервную систему</x:v>
      </x:c>
      <x:c r="D196" s="33" t="str">
        <x:v>G12</x:v>
      </x:c>
      <x:c r="E196" s="39" t="n">
        <x:v>50</x:v>
      </x:c>
      <x:c r="F196" s="45" t="n">
        <x:v>62.5</x:v>
      </x:c>
      <x:c r="G196" s="45" t="n">
        <x:v>54</x:v>
      </x:c>
      <x:c r="H196" s="45" t="n">
        <x:v>67</x:v>
      </x:c>
      <x:c r="I196" s="45" t="n">
        <x:v>56.84</x:v>
      </x:c>
      <x:c r="J196" s="45" t="n">
        <x:v>1</x:v>
      </x:c>
      <x:c r="K196" s="45" t="n">
        <x:v>77</x:v>
      </x:c>
      <x:c r="L196" s="51" t="str">
        <x:v>Болезнь двигательного неврона</x:v>
      </x:c>
      <x:c r="M196" s="45" t="n">
        <x:v>13</x:v>
      </x:c>
      <x:c r="N196" s="33" t="str">
        <x:v>False</x:v>
      </x:c>
      <x:c r="O196" s="45" t="n">
        <x:v>6</x:v>
      </x:c>
    </x:row>
    <x:row r="197">
      <x:c r="A197" s="33" t="str">
        <x:v>VI</x:v>
      </x:c>
      <x:c r="B197" s="33" t="str">
        <x:v>G20-G26</x:v>
      </x:c>
      <x:c r="C197" s="51" t="str">
        <x:v>Экстрапирамидные и другие двигательные нарушения</x:v>
      </x:c>
      <x:c r="D197" s="33" t="str">
        <x:v>G20</x:v>
      </x:c>
      <x:c r="E197" s="39" t="n">
        <x:v>136</x:v>
      </x:c>
      <x:c r="F197" s="45" t="n">
        <x:v>73.5</x:v>
      </x:c>
      <x:c r="G197" s="45" t="n">
        <x:v>68.75</x:v>
      </x:c>
      <x:c r="H197" s="45" t="n">
        <x:v>80</x:v>
      </x:c>
      <x:c r="I197" s="45" t="n">
        <x:v>74.24264705882354</x:v>
      </x:c>
      <x:c r="J197" s="45" t="n">
        <x:v>51</x:v>
      </x:c>
      <x:c r="K197" s="45" t="n">
        <x:v>92</x:v>
      </x:c>
      <x:c r="L197" s="51" t="str">
        <x:v>Болезнь Паркинсона</x:v>
      </x:c>
      <x:c r="M197" s="45" t="n">
        <x:v>11.25</x:v>
      </x:c>
      <x:c r="N197" s="33" t="str">
        <x:v>False</x:v>
      </x:c>
      <x:c r="O197" s="45" t="n">
        <x:v>6</x:v>
      </x:c>
    </x:row>
    <x:row r="198">
      <x:c r="A198" s="33" t="str">
        <x:v>VI</x:v>
      </x:c>
      <x:c r="B198" s="33" t="str">
        <x:v>G20-G26</x:v>
      </x:c>
      <x:c r="C198" s="51" t="str">
        <x:v>Экстрапирамидные и другие двигательные нарушения</x:v>
      </x:c>
      <x:c r="D198" s="33" t="str">
        <x:v>G21</x:v>
      </x:c>
      <x:c r="E198" s="39" t="n">
        <x:v>36</x:v>
      </x:c>
      <x:c r="F198" s="45" t="n">
        <x:v>80.5</x:v>
      </x:c>
      <x:c r="G198" s="45" t="n">
        <x:v>71</x:v>
      </x:c>
      <x:c r="H198" s="45" t="n">
        <x:v>87.25</x:v>
      </x:c>
      <x:c r="I198" s="45" t="n">
        <x:v>78</x:v>
      </x:c>
      <x:c r="J198" s="45" t="n">
        <x:v>18</x:v>
      </x:c>
      <x:c r="K198" s="45" t="n">
        <x:v>97</x:v>
      </x:c>
      <x:c r="L198" s="51" t="str">
        <x:v>Сосудистый паркинсонизм</x:v>
      </x:c>
      <x:c r="M198" s="45" t="n">
        <x:v>16.25</x:v>
      </x:c>
      <x:c r="N198" s="33" t="str">
        <x:v>False</x:v>
      </x:c>
      <x:c r="O198" s="45" t="n">
        <x:v>6</x:v>
      </x:c>
    </x:row>
    <x:row r="199">
      <x:c r="A199" s="33" t="str">
        <x:v>VI</x:v>
      </x:c>
      <x:c r="B199" s="33" t="str">
        <x:v>G20-G26</x:v>
      </x:c>
      <x:c r="C199" s="51" t="str">
        <x:v>Экстрапирамидные и другие двигательные нарушения</x:v>
      </x:c>
      <x:c r="D199" s="33" t="str">
        <x:v>G23</x:v>
      </x:c>
      <x:c r="E199" s="39" t="n">
        <x:v>7</x:v>
      </x:c>
      <x:c r="F199" s="45" t="n">
        <x:v>59</x:v>
      </x:c>
      <x:c r="G199" s="45" t="n">
        <x:v>54.5</x:v>
      </x:c>
      <x:c r="H199" s="45" t="n">
        <x:v>66</x:v>
      </x:c>
      <x:c r="I199" s="45" t="n">
        <x:v>56.57142857142857</x:v>
      </x:c>
      <x:c r="J199" s="45" t="n">
        <x:v>22</x:v>
      </x:c>
      <x:c r="K199" s="45" t="n">
        <x:v>74</x:v>
      </x:c>
      <x:c r="L199" s="51" t="str">
        <x:v>Другие болезни базальных ганглиев</x:v>
      </x:c>
      <x:c r="M199" s="45" t="n">
        <x:v>11.5</x:v>
      </x:c>
      <x:c r="N199" s="33" t="str">
        <x:v>False</x:v>
      </x:c>
      <x:c r="O199" s="45" t="n">
        <x:v>6</x:v>
      </x:c>
    </x:row>
    <x:row r="200">
      <x:c r="A200" s="33" t="str">
        <x:v>VI</x:v>
      </x:c>
      <x:c r="B200" s="33" t="str">
        <x:v>G20-G26</x:v>
      </x:c>
      <x:c r="C200" s="51" t="str">
        <x:v>Экстрапирамидные и другие двигательные нарушения</x:v>
      </x:c>
      <x:c r="D200" s="33" t="str">
        <x:v>G25</x:v>
      </x:c>
      <x:c r="E200" s="39" t="n">
        <x:v>1</x:v>
      </x:c>
      <x:c r="F200" s="45" t="n">
        <x:v>81</x:v>
      </x:c>
      <x:c r="G200" s="45" t="n">
        <x:v>81</x:v>
      </x:c>
      <x:c r="H200" s="45" t="n">
        <x:v>81</x:v>
      </x:c>
      <x:c r="I200" s="45" t="n">
        <x:v>81</x:v>
      </x:c>
      <x:c r="J200" s="45" t="n">
        <x:v>81</x:v>
      </x:c>
      <x:c r="K200" s="45" t="n">
        <x:v>81</x:v>
      </x:c>
      <x:c r="L200" s="51" t="str">
        <x:v>Другие экстрапирамидные нарушения</x:v>
      </x:c>
      <x:c r="M200" s="45" t="n">
        <x:v>0</x:v>
      </x:c>
      <x:c r="N200" s="33" t="str">
        <x:v>True</x:v>
      </x:c>
      <x:c r="O200" s="45" t="n">
        <x:v>6</x:v>
      </x:c>
    </x:row>
    <x:row r="201">
      <x:c r="A201" s="33" t="str">
        <x:v>VI</x:v>
      </x:c>
      <x:c r="B201" s="33" t="str">
        <x:v>G30-G32</x:v>
      </x:c>
      <x:c r="C201" s="51" t="str">
        <x:v>Другие дегенеративные болезни центральной нервной системы</x:v>
      </x:c>
      <x:c r="D201" s="33" t="str">
        <x:v>G30</x:v>
      </x:c>
      <x:c r="E201" s="39" t="n">
        <x:v>94</x:v>
      </x:c>
      <x:c r="F201" s="45" t="n">
        <x:v>78</x:v>
      </x:c>
      <x:c r="G201" s="45" t="n">
        <x:v>71.25</x:v>
      </x:c>
      <x:c r="H201" s="45" t="n">
        <x:v>82</x:v>
      </x:c>
      <x:c r="I201" s="45" t="n">
        <x:v>76.76595744680851</x:v>
      </x:c>
      <x:c r="J201" s="45" t="n">
        <x:v>60</x:v>
      </x:c>
      <x:c r="K201" s="45" t="n">
        <x:v>94</x:v>
      </x:c>
      <x:c r="L201" s="51" t="str">
        <x:v>Поздняя болезнь Альцгеймера</x:v>
      </x:c>
      <x:c r="M201" s="45" t="n">
        <x:v>10.75</x:v>
      </x:c>
      <x:c r="N201" s="33" t="str">
        <x:v>False</x:v>
      </x:c>
      <x:c r="O201" s="45" t="n">
        <x:v>6</x:v>
      </x:c>
    </x:row>
    <x:row r="202">
      <x:c r="A202" s="33" t="str">
        <x:v>VI</x:v>
      </x:c>
      <x:c r="B202" s="33" t="str">
        <x:v>G30-G32</x:v>
      </x:c>
      <x:c r="C202" s="51" t="str">
        <x:v>Другие дегенеративные болезни центральной нервной системы</x:v>
      </x:c>
      <x:c r="D202" s="33" t="str">
        <x:v>G31</x:v>
      </x:c>
      <x:c r="E202" s="39" t="n">
        <x:v>2928</x:v>
      </x:c>
      <x:c r="F202" s="45" t="n">
        <x:v>82</x:v>
      </x:c>
      <x:c r="G202" s="45" t="n">
        <x:v>72</x:v>
      </x:c>
      <x:c r="H202" s="45" t="n">
        <x:v>88</x:v>
      </x:c>
      <x:c r="I202" s="45" t="n">
        <x:v>78.98565573770492</x:v>
      </x:c>
      <x:c r="J202" s="45" t="n">
        <x:v>6</x:v>
      </x:c>
      <x:c r="K202" s="45" t="n">
        <x:v>103</x:v>
      </x:c>
      <x:c r="L202" s="51" t="str">
        <x:v>Ограниченная атрофия головного мозга</x:v>
      </x:c>
      <x:c r="M202" s="45" t="n">
        <x:v>16</x:v>
      </x:c>
      <x:c r="N202" s="33" t="str">
        <x:v>False</x:v>
      </x:c>
      <x:c r="O202" s="45" t="n">
        <x:v>6</x:v>
      </x:c>
    </x:row>
    <x:row r="203">
      <x:c r="A203" s="33" t="str">
        <x:v>VI</x:v>
      </x:c>
      <x:c r="B203" s="33" t="str">
        <x:v>G35-G37</x:v>
      </x:c>
      <x:c r="C203" s="51" t="str">
        <x:v>Демиелинизирующие болезни центральной нервной системы</x:v>
      </x:c>
      <x:c r="D203" s="33" t="str">
        <x:v>G35</x:v>
      </x:c>
      <x:c r="E203" s="39" t="n">
        <x:v>16</x:v>
      </x:c>
      <x:c r="F203" s="45" t="n">
        <x:v>54.5</x:v>
      </x:c>
      <x:c r="G203" s="45" t="n">
        <x:v>49.5</x:v>
      </x:c>
      <x:c r="H203" s="45" t="n">
        <x:v>59.25</x:v>
      </x:c>
      <x:c r="I203" s="45" t="n">
        <x:v>54.1875</x:v>
      </x:c>
      <x:c r="J203" s="45" t="n">
        <x:v>35</x:v>
      </x:c>
      <x:c r="K203" s="45" t="n">
        <x:v>77</x:v>
      </x:c>
      <x:c r="L203" s="51" t="str">
        <x:v>Рассеянный склероз</x:v>
      </x:c>
      <x:c r="M203" s="45" t="n">
        <x:v>9.75</x:v>
      </x:c>
      <x:c r="N203" s="33" t="str">
        <x:v>False</x:v>
      </x:c>
      <x:c r="O203" s="45" t="n">
        <x:v>6</x:v>
      </x:c>
    </x:row>
    <x:row r="204">
      <x:c r="A204" s="33" t="str">
        <x:v>VI</x:v>
      </x:c>
      <x:c r="B204" s="33" t="str">
        <x:v>G35-G37</x:v>
      </x:c>
      <x:c r="C204" s="51" t="str">
        <x:v>Демиелинизирующие болезни центральной нервной системы</x:v>
      </x:c>
      <x:c r="D204" s="33" t="str">
        <x:v>G36</x:v>
      </x:c>
      <x:c r="E204" s="39" t="n">
        <x:v>2</x:v>
      </x:c>
      <x:c r="F204" s="45" t="n">
        <x:v>54.5</x:v>
      </x:c>
      <x:c r="G204" s="45" t="n">
        <x:v>50.25</x:v>
      </x:c>
      <x:c r="H204" s="45" t="n">
        <x:v>58.75</x:v>
      </x:c>
      <x:c r="I204" s="45" t="n">
        <x:v>54.5</x:v>
      </x:c>
      <x:c r="J204" s="45" t="n">
        <x:v>46</x:v>
      </x:c>
      <x:c r="K204" s="45" t="n">
        <x:v>63</x:v>
      </x:c>
      <x:c r="L204" s="51" t="str">
        <x:v>Другая уточненная форма острой диссеминированной демиелинизации</x:v>
      </x:c>
      <x:c r="M204" s="45" t="n">
        <x:v>8.5</x:v>
      </x:c>
      <x:c r="N204" s="33" t="str">
        <x:v>True</x:v>
      </x:c>
      <x:c r="O204" s="45" t="n">
        <x:v>6</x:v>
      </x:c>
    </x:row>
    <x:row r="205">
      <x:c r="A205" s="33" t="str">
        <x:v>VI</x:v>
      </x:c>
      <x:c r="B205" s="33" t="str">
        <x:v>G35-G37</x:v>
      </x:c>
      <x:c r="C205" s="51" t="str">
        <x:v>Демиелинизирующие болезни центральной нервной системы</x:v>
      </x:c>
      <x:c r="D205" s="33" t="str">
        <x:v>G37</x:v>
      </x:c>
      <x:c r="E205" s="39" t="n">
        <x:v>6</x:v>
      </x:c>
      <x:c r="F205" s="45" t="n">
        <x:v>65</x:v>
      </x:c>
      <x:c r="G205" s="45" t="n">
        <x:v>54.75</x:v>
      </x:c>
      <x:c r="H205" s="45" t="n">
        <x:v>69.25</x:v>
      </x:c>
      <x:c r="I205" s="45" t="n">
        <x:v>62</x:v>
      </x:c>
      <x:c r="J205" s="45" t="n">
        <x:v>50</x:v>
      </x:c>
      <x:c r="K205" s="45" t="n">
        <x:v>70</x:v>
      </x:c>
      <x:c r="L205" s="51" t="str">
        <x:v>Центральный понтинный миелинолиз</x:v>
      </x:c>
      <x:c r="M205" s="45" t="n">
        <x:v>14.5</x:v>
      </x:c>
      <x:c r="N205" s="33" t="str">
        <x:v>False</x:v>
      </x:c>
      <x:c r="O205" s="45" t="n">
        <x:v>6</x:v>
      </x:c>
    </x:row>
    <x:row r="206">
      <x:c r="A206" s="33" t="str">
        <x:v>VI</x:v>
      </x:c>
      <x:c r="B206" s="33" t="str">
        <x:v>G40-G47</x:v>
      </x:c>
      <x:c r="C206" s="51" t="str">
        <x:v>Эпизодические и пароксизмальные расстройства</x:v>
      </x:c>
      <x:c r="D206" s="33" t="str">
        <x:v>G40</x:v>
      </x:c>
      <x:c r="E206" s="39" t="n">
        <x:v>51</x:v>
      </x:c>
      <x:c r="F206" s="45" t="n">
        <x:v>46</x:v>
      </x:c>
      <x:c r="G206" s="45" t="n">
        <x:v>38</x:v>
      </x:c>
      <x:c r="H206" s="45" t="n">
        <x:v>64</x:v>
      </x:c>
      <x:c r="I206" s="45" t="n">
        <x:v>48.96078431372549</x:v>
      </x:c>
      <x:c r="J206" s="45" t="n">
        <x:v>5</x:v>
      </x:c>
      <x:c r="K206" s="45" t="n">
        <x:v>79</x:v>
      </x:c>
      <x:c r="L206" s="51" t="str">
        <x:v>Генерализованная идиопатическая эпилепсия и эпилептические синдромы</x:v>
      </x:c>
      <x:c r="M206" s="45" t="n">
        <x:v>26</x:v>
      </x:c>
      <x:c r="N206" s="33" t="str">
        <x:v>False</x:v>
      </x:c>
      <x:c r="O206" s="45" t="n">
        <x:v>6</x:v>
      </x:c>
    </x:row>
    <x:row r="207">
      <x:c r="A207" s="33" t="str">
        <x:v>VI</x:v>
      </x:c>
      <x:c r="B207" s="33" t="str">
        <x:v>G40-G47</x:v>
      </x:c>
      <x:c r="C207" s="51" t="str">
        <x:v>Эпизодические и пароксизмальные расстройства</x:v>
      </x:c>
      <x:c r="D207" s="33" t="str">
        <x:v>G41</x:v>
      </x:c>
      <x:c r="E207" s="39" t="n">
        <x:v>5</x:v>
      </x:c>
      <x:c r="F207" s="45" t="n">
        <x:v>55</x:v>
      </x:c>
      <x:c r="G207" s="45" t="n">
        <x:v>50</x:v>
      </x:c>
      <x:c r="H207" s="45" t="n">
        <x:v>58</x:v>
      </x:c>
      <x:c r="I207" s="45" t="n">
        <x:v>50</x:v>
      </x:c>
      <x:c r="J207" s="45" t="n">
        <x:v>18</x:v>
      </x:c>
      <x:c r="K207" s="45" t="n">
        <x:v>69</x:v>
      </x:c>
      <x:c r="L207" s="51" t="str">
        <x:v>Другой эпилептический статус</x:v>
      </x:c>
      <x:c r="M207" s="45" t="n">
        <x:v>8</x:v>
      </x:c>
      <x:c r="N207" s="33" t="str">
        <x:v>False</x:v>
      </x:c>
      <x:c r="O207" s="45" t="n">
        <x:v>6</x:v>
      </x:c>
    </x:row>
    <x:row r="208">
      <x:c r="A208" s="33" t="str">
        <x:v>VI</x:v>
      </x:c>
      <x:c r="B208" s="33" t="str">
        <x:v>G60-G64</x:v>
      </x:c>
      <x:c r="C208" s="51" t="str">
        <x:v>Полиневропатии и другие поражения периферической нервной системы</x:v>
      </x:c>
      <x:c r="D208" s="33" t="str">
        <x:v>G61</x:v>
      </x:c>
      <x:c r="E208" s="39" t="n">
        <x:v>3</x:v>
      </x:c>
      <x:c r="F208" s="45" t="n">
        <x:v>59</x:v>
      </x:c>
      <x:c r="G208" s="45" t="n">
        <x:v>53</x:v>
      </x:c>
      <x:c r="H208" s="45" t="n">
        <x:v>70</x:v>
      </x:c>
      <x:c r="I208" s="45" t="n">
        <x:v>62.333333333333336</x:v>
      </x:c>
      <x:c r="J208" s="45" t="n">
        <x:v>47</x:v>
      </x:c>
      <x:c r="K208" s="45" t="n">
        <x:v>81</x:v>
      </x:c>
      <x:c r="L208" s="51" t="str">
        <x:v>Синдром Гийена-Барре</x:v>
      </x:c>
      <x:c r="M208" s="45" t="n">
        <x:v>17</x:v>
      </x:c>
      <x:c r="N208" s="33" t="str">
        <x:v>True</x:v>
      </x:c>
      <x:c r="O208" s="45" t="n">
        <x:v>6</x:v>
      </x:c>
    </x:row>
    <x:row r="209">
      <x:c r="A209" s="33" t="str">
        <x:v>VI</x:v>
      </x:c>
      <x:c r="B209" s="33" t="str">
        <x:v>G60-G64</x:v>
      </x:c>
      <x:c r="C209" s="51" t="str">
        <x:v>Полиневропатии и другие поражения периферической нервной системы</x:v>
      </x:c>
      <x:c r="D209" s="33" t="str">
        <x:v>G62</x:v>
      </x:c>
      <x:c r="E209" s="39" t="n">
        <x:v>2</x:v>
      </x:c>
      <x:c r="F209" s="45" t="n">
        <x:v>64.5</x:v>
      </x:c>
      <x:c r="G209" s="45" t="n">
        <x:v>61.75</x:v>
      </x:c>
      <x:c r="H209" s="45" t="n">
        <x:v>67.25</x:v>
      </x:c>
      <x:c r="I209" s="45" t="n">
        <x:v>64.5</x:v>
      </x:c>
      <x:c r="J209" s="45" t="n">
        <x:v>59</x:v>
      </x:c>
      <x:c r="K209" s="45" t="n">
        <x:v>70</x:v>
      </x:c>
      <x:c r="L209" s="51" t="str">
        <x:v>Алкогольная полинейропатия</x:v>
      </x:c>
      <x:c r="M209" s="45" t="n">
        <x:v>5.5</x:v>
      </x:c>
      <x:c r="N209" s="33" t="str">
        <x:v>True</x:v>
      </x:c>
      <x:c r="O209" s="45" t="n">
        <x:v>6</x:v>
      </x:c>
    </x:row>
    <x:row r="210">
      <x:c r="A210" s="33" t="str">
        <x:v>VI</x:v>
      </x:c>
      <x:c r="B210" s="33" t="str">
        <x:v>G70-G73</x:v>
      </x:c>
      <x:c r="C210" s="51" t="str">
        <x:v>Болезни нервно-мышечного синапса и мышц</x:v>
      </x:c>
      <x:c r="D210" s="33" t="str">
        <x:v>G70</x:v>
      </x:c>
      <x:c r="E210" s="39" t="n">
        <x:v>8</x:v>
      </x:c>
      <x:c r="F210" s="45" t="n">
        <x:v>71</x:v>
      </x:c>
      <x:c r="G210" s="45" t="n">
        <x:v>63.75</x:v>
      </x:c>
      <x:c r="H210" s="45" t="n">
        <x:v>77.5</x:v>
      </x:c>
      <x:c r="I210" s="45" t="n">
        <x:v>67.5</x:v>
      </x:c>
      <x:c r="J210" s="45" t="n">
        <x:v>38</x:v>
      </x:c>
      <x:c r="K210" s="45" t="n">
        <x:v>81</x:v>
      </x:c>
      <x:c r="L210" s="51" t="str">
        <x:v>Myasthenia gravis</x:v>
      </x:c>
      <x:c r="M210" s="45" t="n">
        <x:v>13.75</x:v>
      </x:c>
      <x:c r="N210" s="33" t="str">
        <x:v>False</x:v>
      </x:c>
      <x:c r="O210" s="45" t="n">
        <x:v>6</x:v>
      </x:c>
    </x:row>
    <x:row r="211">
      <x:c r="A211" s="33" t="str">
        <x:v>VI</x:v>
      </x:c>
      <x:c r="B211" s="33" t="str">
        <x:v>G70-G73</x:v>
      </x:c>
      <x:c r="C211" s="51" t="str">
        <x:v>Болезни нервно-мышечного синапса и мышц</x:v>
      </x:c>
      <x:c r="D211" s="33" t="str">
        <x:v>G71</x:v>
      </x:c>
      <x:c r="E211" s="39" t="n">
        <x:v>12</x:v>
      </x:c>
      <x:c r="F211" s="45" t="n">
        <x:v>46</x:v>
      </x:c>
      <x:c r="G211" s="45" t="n">
        <x:v>20.75</x:v>
      </x:c>
      <x:c r="H211" s="45" t="n">
        <x:v>52.25</x:v>
      </x:c>
      <x:c r="I211" s="45" t="n">
        <x:v>40.416666666666664</x:v>
      </x:c>
      <x:c r="J211" s="45" t="n">
        <x:v>13</x:v>
      </x:c>
      <x:c r="K211" s="45" t="n">
        <x:v>80</x:v>
      </x:c>
      <x:c r="L211" s="51" t="str">
        <x:v>Мышечная дистрофия</x:v>
      </x:c>
      <x:c r="M211" s="45" t="n">
        <x:v>31.5</x:v>
      </x:c>
      <x:c r="N211" s="33" t="str">
        <x:v>False</x:v>
      </x:c>
      <x:c r="O211" s="45" t="n">
        <x:v>6</x:v>
      </x:c>
    </x:row>
    <x:row r="212">
      <x:c r="A212" s="33" t="str">
        <x:v>VI</x:v>
      </x:c>
      <x:c r="B212" s="33" t="str">
        <x:v>G70-G73</x:v>
      </x:c>
      <x:c r="C212" s="51" t="str">
        <x:v>Болезни нервно-мышечного синапса и мышц</x:v>
      </x:c>
      <x:c r="D212" s="33" t="str">
        <x:v>G72</x:v>
      </x:c>
      <x:c r="E212" s="39" t="n">
        <x:v>1</x:v>
      </x:c>
      <x:c r="F212" s="45" t="n">
        <x:v>68</x:v>
      </x:c>
      <x:c r="G212" s="45" t="n">
        <x:v>68</x:v>
      </x:c>
      <x:c r="H212" s="45" t="n">
        <x:v>68</x:v>
      </x:c>
      <x:c r="I212" s="45" t="n">
        <x:v>68</x:v>
      </x:c>
      <x:c r="J212" s="45" t="n">
        <x:v>68</x:v>
      </x:c>
      <x:c r="K212" s="45" t="n">
        <x:v>68</x:v>
      </x:c>
      <x:c r="L212" s="51" t="str">
        <x:v>Другие уточненные миопатии</x:v>
      </x:c>
      <x:c r="M212" s="45" t="n">
        <x:v>0</x:v>
      </x:c>
      <x:c r="N212" s="33" t="str">
        <x:v>True</x:v>
      </x:c>
      <x:c r="O212" s="45" t="n">
        <x:v>6</x:v>
      </x:c>
    </x:row>
    <x:row r="213">
      <x:c r="A213" s="33" t="str">
        <x:v>VI</x:v>
      </x:c>
      <x:c r="B213" s="33" t="str">
        <x:v>G80-G83</x:v>
      </x:c>
      <x:c r="C213" s="51" t="str">
        <x:v>Церебральный паралич и другие паралитические синдромы</x:v>
      </x:c>
      <x:c r="D213" s="33" t="str">
        <x:v>G80</x:v>
      </x:c>
      <x:c r="E213" s="39" t="n">
        <x:v>19</x:v>
      </x:c>
      <x:c r="F213" s="45" t="n">
        <x:v>22</x:v>
      </x:c>
      <x:c r="G213" s="45" t="n">
        <x:v>14</x:v>
      </x:c>
      <x:c r="H213" s="45" t="n">
        <x:v>30</x:v>
      </x:c>
      <x:c r="I213" s="45" t="n">
        <x:v>23.473684210526315</x:v>
      </x:c>
      <x:c r="J213" s="45" t="n">
        <x:v>5</x:v>
      </x:c>
      <x:c r="K213" s="45" t="n">
        <x:v>52</x:v>
      </x:c>
      <x:c r="L213" s="51" t="str">
        <x:v>Церебральный паралич со спастической тетраплегией</x:v>
      </x:c>
      <x:c r="M213" s="45" t="n">
        <x:v>16</x:v>
      </x:c>
      <x:c r="N213" s="33" t="str">
        <x:v>False</x:v>
      </x:c>
      <x:c r="O213" s="45" t="n">
        <x:v>6</x:v>
      </x:c>
    </x:row>
    <x:row r="214">
      <x:c r="A214" s="33" t="str">
        <x:v>VI</x:v>
      </x:c>
      <x:c r="B214" s="33" t="str">
        <x:v>G90-G99</x:v>
      </x:c>
      <x:c r="C214" s="51" t="str">
        <x:v>Другие нарушения нервной системы</x:v>
      </x:c>
      <x:c r="D214" s="33" t="str">
        <x:v>G91</x:v>
      </x:c>
      <x:c r="E214" s="39" t="n">
        <x:v>21</x:v>
      </x:c>
      <x:c r="F214" s="45" t="n">
        <x:v>64</x:v>
      </x:c>
      <x:c r="G214" s="45" t="n">
        <x:v>24</x:v>
      </x:c>
      <x:c r="H214" s="45" t="n">
        <x:v>68</x:v>
      </x:c>
      <x:c r="I214" s="45" t="n">
        <x:v>51.76190476190476</x:v>
      </x:c>
      <x:c r="J214" s="45" t="n">
        <x:v>1</x:v>
      </x:c>
      <x:c r="K214" s="45" t="n">
        <x:v>95</x:v>
      </x:c>
      <x:c r="L214" s="51" t="str">
        <x:v>Другие виды гидроцефалии</x:v>
      </x:c>
      <x:c r="M214" s="45" t="n">
        <x:v>44</x:v>
      </x:c>
      <x:c r="N214" s="33" t="str">
        <x:v>False</x:v>
      </x:c>
      <x:c r="O214" s="45" t="n">
        <x:v>6</x:v>
      </x:c>
    </x:row>
    <x:row r="215">
      <x:c r="A215" s="33" t="str">
        <x:v>VI</x:v>
      </x:c>
      <x:c r="B215" s="33" t="str">
        <x:v>G90-G99</x:v>
      </x:c>
      <x:c r="C215" s="51" t="str">
        <x:v>Другие нарушения нервной системы</x:v>
      </x:c>
      <x:c r="D215" s="33" t="str">
        <x:v>G92</x:v>
      </x:c>
      <x:c r="E215" s="39" t="n">
        <x:v>29</x:v>
      </x:c>
      <x:c r="F215" s="45" t="n">
        <x:v>61</x:v>
      </x:c>
      <x:c r="G215" s="45" t="n">
        <x:v>47</x:v>
      </x:c>
      <x:c r="H215" s="45" t="n">
        <x:v>68</x:v>
      </x:c>
      <x:c r="I215" s="45" t="n">
        <x:v>56.793103448275865</x:v>
      </x:c>
      <x:c r="J215" s="45" t="n">
        <x:v>25</x:v>
      </x:c>
      <x:c r="K215" s="45" t="n">
        <x:v>77</x:v>
      </x:c>
      <x:c r="L215" s="51" t="str">
        <x:v>Токсическая энцефалопатия</x:v>
      </x:c>
      <x:c r="M215" s="45" t="n">
        <x:v>21</x:v>
      </x:c>
      <x:c r="N215" s="33" t="str">
        <x:v>False</x:v>
      </x:c>
      <x:c r="O215" s="45" t="n">
        <x:v>6</x:v>
      </x:c>
    </x:row>
    <x:row r="216">
      <x:c r="A216" s="33" t="str">
        <x:v>VI</x:v>
      </x:c>
      <x:c r="B216" s="33" t="str">
        <x:v>G90-G99</x:v>
      </x:c>
      <x:c r="C216" s="51" t="str">
        <x:v>Другие нарушения нервной системы</x:v>
      </x:c>
      <x:c r="D216" s="33" t="str">
        <x:v>G93</x:v>
      </x:c>
      <x:c r="E216" s="39" t="n">
        <x:v>1566</x:v>
      </x:c>
      <x:c r="F216" s="45" t="n">
        <x:v>74</x:v>
      </x:c>
      <x:c r="G216" s="45" t="n">
        <x:v>67</x:v>
      </x:c>
      <x:c r="H216" s="45" t="n">
        <x:v>82</x:v>
      </x:c>
      <x:c r="I216" s="45" t="n">
        <x:v>73.86526181353767</x:v>
      </x:c>
      <x:c r="J216" s="45" t="n">
        <x:v>0</x:v>
      </x:c>
      <x:c r="K216" s="45" t="n">
        <x:v>98</x:v>
      </x:c>
      <x:c r="L216" s="51" t="str">
        <x:v>Церебральная киста</x:v>
      </x:c>
      <x:c r="M216" s="45" t="n">
        <x:v>15</x:v>
      </x:c>
      <x:c r="N216" s="33" t="str">
        <x:v>False</x:v>
      </x:c>
      <x:c r="O216" s="45" t="n">
        <x:v>6</x:v>
      </x:c>
    </x:row>
    <x:row r="217">
      <x:c r="A217" s="33" t="str">
        <x:v>VI</x:v>
      </x:c>
      <x:c r="B217" s="33" t="str">
        <x:v>G90-G99</x:v>
      </x:c>
      <x:c r="C217" s="51" t="str">
        <x:v>Другие нарушения нервной системы</x:v>
      </x:c>
      <x:c r="D217" s="33" t="str">
        <x:v>G95</x:v>
      </x:c>
      <x:c r="E217" s="39" t="n">
        <x:v>15</x:v>
      </x:c>
      <x:c r="F217" s="45" t="n">
        <x:v>72</x:v>
      </x:c>
      <x:c r="G217" s="45" t="n">
        <x:v>65.5</x:v>
      </x:c>
      <x:c r="H217" s="45" t="n">
        <x:v>73.5</x:v>
      </x:c>
      <x:c r="I217" s="45" t="n">
        <x:v>69.26666666666667</x:v>
      </x:c>
      <x:c r="J217" s="45" t="n">
        <x:v>50</x:v>
      </x:c>
      <x:c r="K217" s="45" t="n">
        <x:v>86</x:v>
      </x:c>
      <x:c r="L217" s="51" t="str">
        <x:v>Сосудистые миелопатии</x:v>
      </x:c>
      <x:c r="M217" s="45" t="n">
        <x:v>8</x:v>
      </x:c>
      <x:c r="N217" s="33" t="str">
        <x:v>False</x:v>
      </x:c>
      <x:c r="O217" s="45" t="n">
        <x:v>6</x:v>
      </x:c>
    </x:row>
    <x:row r="218">
      <x:c r="A218" s="33" t="str">
        <x:v>VI</x:v>
      </x:c>
      <x:c r="B218" s="33" t="str">
        <x:v>G90-G99</x:v>
      </x:c>
      <x:c r="C218" s="51" t="str">
        <x:v>Другие нарушения нервной системы</x:v>
      </x:c>
      <x:c r="D218" s="33" t="str">
        <x:v>G96</x:v>
      </x:c>
      <x:c r="E218" s="39" t="n">
        <x:v>8</x:v>
      </x:c>
      <x:c r="F218" s="45" t="n">
        <x:v>20</x:v>
      </x:c>
      <x:c r="G218" s="45" t="n">
        <x:v>1</x:v>
      </x:c>
      <x:c r="H218" s="45" t="n">
        <x:v>52.25</x:v>
      </x:c>
      <x:c r="I218" s="45" t="n">
        <x:v>27.25</x:v>
      </x:c>
      <x:c r="J218" s="45" t="n">
        <x:v>0</x:v>
      </x:c>
      <x:c r="K218" s="45" t="n">
        <x:v>67</x:v>
      </x:c>
      <x:c r="L218" s="51" t="str">
        <x:v>Другие уточненные поражения центральной нервной системы</x:v>
      </x:c>
      <x:c r="M218" s="45" t="n">
        <x:v>51.25</x:v>
      </x:c>
      <x:c r="N218" s="33" t="str">
        <x:v>False</x:v>
      </x:c>
      <x:c r="O218" s="45" t="n">
        <x:v>6</x:v>
      </x:c>
    </x:row>
    <x:row r="219">
      <x:c r="A219" s="33" t="str">
        <x:v>VIII</x:v>
      </x:c>
      <x:c r="B219" s="33" t="str">
        <x:v>H60-H62</x:v>
      </x:c>
      <x:c r="C219" s="51" t="str">
        <x:v>Болезни наружного уха</x:v>
      </x:c>
      <x:c r="D219" s="33" t="str">
        <x:v>H60</x:v>
      </x:c>
      <x:c r="E219" s="39" t="n">
        <x:v>1</x:v>
      </x:c>
      <x:c r="F219" s="45" t="n">
        <x:v>86</x:v>
      </x:c>
      <x:c r="G219" s="45" t="n">
        <x:v>86</x:v>
      </x:c>
      <x:c r="H219" s="45" t="n">
        <x:v>86</x:v>
      </x:c>
      <x:c r="I219" s="45" t="n">
        <x:v>86</x:v>
      </x:c>
      <x:c r="J219" s="45" t="n">
        <x:v>86</x:v>
      </x:c>
      <x:c r="K219" s="45" t="n">
        <x:v>86</x:v>
      </x:c>
      <x:c r="L219" s="51" t="str">
        <x:v>Злокачественный наружный отит</x:v>
      </x:c>
      <x:c r="M219" s="45" t="n">
        <x:v>0</x:v>
      </x:c>
      <x:c r="N219" s="33" t="str">
        <x:v>True</x:v>
      </x:c>
      <x:c r="O219" s="45" t="n">
        <x:v>8</x:v>
      </x:c>
    </x:row>
    <x:row r="220">
      <x:c r="A220" s="33" t="str">
        <x:v>VIII</x:v>
      </x:c>
      <x:c r="B220" s="33" t="str">
        <x:v>H65-H75</x:v>
      </x:c>
      <x:c r="C220" s="51" t="str">
        <x:v>Болезни среднего уха и сосцевидного отростка</x:v>
      </x:c>
      <x:c r="D220" s="33" t="str">
        <x:v>H66</x:v>
      </x:c>
      <x:c r="E220" s="39" t="n">
        <x:v>8</x:v>
      </x:c>
      <x:c r="F220" s="45" t="n">
        <x:v>56.5</x:v>
      </x:c>
      <x:c r="G220" s="45" t="n">
        <x:v>47.25</x:v>
      </x:c>
      <x:c r="H220" s="45" t="n">
        <x:v>71.75</x:v>
      </x:c>
      <x:c r="I220" s="45" t="n">
        <x:v>55.375</x:v>
      </x:c>
      <x:c r="J220" s="45" t="n">
        <x:v>26</x:v>
      </x:c>
      <x:c r="K220" s="45" t="n">
        <x:v>78</x:v>
      </x:c>
      <x:c r="L220" s="51" t="str">
        <x:v>Острый гнойный средний отит</x:v>
      </x:c>
      <x:c r="M220" s="45" t="n">
        <x:v>24.5</x:v>
      </x:c>
      <x:c r="N220" s="33" t="str">
        <x:v>False</x:v>
      </x:c>
      <x:c r="O220" s="45" t="n">
        <x:v>8</x:v>
      </x:c>
    </x:row>
    <x:row r="221">
      <x:c r="A221" s="33" t="str">
        <x:v>VIII</x:v>
      </x:c>
      <x:c r="B221" s="33" t="str">
        <x:v>H65-H75</x:v>
      </x:c>
      <x:c r="C221" s="51" t="str">
        <x:v>Болезни среднего уха и сосцевидного отростка</x:v>
      </x:c>
      <x:c r="D221" s="33" t="str">
        <x:v>H70</x:v>
      </x:c>
      <x:c r="E221" s="39" t="n">
        <x:v>1</x:v>
      </x:c>
      <x:c r="F221" s="45" t="n">
        <x:v>58</x:v>
      </x:c>
      <x:c r="G221" s="45" t="n">
        <x:v>58</x:v>
      </x:c>
      <x:c r="H221" s="45" t="n">
        <x:v>58</x:v>
      </x:c>
      <x:c r="I221" s="45" t="n">
        <x:v>58</x:v>
      </x:c>
      <x:c r="J221" s="45" t="n">
        <x:v>58</x:v>
      </x:c>
      <x:c r="K221" s="45" t="n">
        <x:v>58</x:v>
      </x:c>
      <x:c r="L221" s="51" t="str">
        <x:v>Мастоидит</x:v>
      </x:c>
      <x:c r="M221" s="45" t="n">
        <x:v>0</x:v>
      </x:c>
      <x:c r="N221" s="33" t="str">
        <x:v>True</x:v>
      </x:c>
      <x:c r="O221" s="45" t="n">
        <x:v>8</x:v>
      </x:c>
    </x:row>
    <x:row r="222">
      <x:c r="A222" s="33" t="str">
        <x:v>IX</x:v>
      </x:c>
      <x:c r="B222" s="33" t="str">
        <x:v>I05-I09</x:v>
      </x:c>
      <x:c r="C222" s="51" t="str">
        <x:v>Хронические ревматические болезни сердца</x:v>
      </x:c>
      <x:c r="D222" s="33" t="str">
        <x:v>I05</x:v>
      </x:c>
      <x:c r="E222" s="39" t="n">
        <x:v>19</x:v>
      </x:c>
      <x:c r="F222" s="45" t="n">
        <x:v>67</x:v>
      </x:c>
      <x:c r="G222" s="45" t="n">
        <x:v>65</x:v>
      </x:c>
      <x:c r="H222" s="45" t="n">
        <x:v>75</x:v>
      </x:c>
      <x:c r="I222" s="45" t="n">
        <x:v>69.3157894736842</x:v>
      </x:c>
      <x:c r="J222" s="45" t="n">
        <x:v>40</x:v>
      </x:c>
      <x:c r="K222" s="45" t="n">
        <x:v>83</x:v>
      </x:c>
      <x:c r="L222" s="51" t="str">
        <x:v>Митральный стеноз с недостаточностью</x:v>
      </x:c>
      <x:c r="M222" s="45" t="n">
        <x:v>10</x:v>
      </x:c>
      <x:c r="N222" s="33" t="str">
        <x:v>False</x:v>
      </x:c>
      <x:c r="O222" s="45" t="n">
        <x:v>9</x:v>
      </x:c>
    </x:row>
    <x:row r="223">
      <x:c r="A223" s="33" t="str">
        <x:v>IX</x:v>
      </x:c>
      <x:c r="B223" s="33" t="str">
        <x:v>I05-I09</x:v>
      </x:c>
      <x:c r="C223" s="51" t="str">
        <x:v>Хронические ревматические болезни сердца</x:v>
      </x:c>
      <x:c r="D223" s="33" t="str">
        <x:v>I06</x:v>
      </x:c>
      <x:c r="E223" s="39" t="n">
        <x:v>11</x:v>
      </x:c>
      <x:c r="F223" s="45" t="n">
        <x:v>70</x:v>
      </x:c>
      <x:c r="G223" s="45" t="n">
        <x:v>64.5</x:v>
      </x:c>
      <x:c r="H223" s="45" t="n">
        <x:v>76.5</x:v>
      </x:c>
      <x:c r="I223" s="45" t="n">
        <x:v>69.45454545454545</x:v>
      </x:c>
      <x:c r="J223" s="45" t="n">
        <x:v>50</x:v>
      </x:c>
      <x:c r="K223" s="45" t="n">
        <x:v>80</x:v>
      </x:c>
      <x:c r="L223" s="51" t="str">
        <x:v>Ревматический аортальный стеноз с недостаточностью</x:v>
      </x:c>
      <x:c r="M223" s="45" t="n">
        <x:v>12</x:v>
      </x:c>
      <x:c r="N223" s="33" t="str">
        <x:v>False</x:v>
      </x:c>
      <x:c r="O223" s="45" t="n">
        <x:v>9</x:v>
      </x:c>
    </x:row>
    <x:row r="224">
      <x:c r="A224" s="33" t="str">
        <x:v>IX</x:v>
      </x:c>
      <x:c r="B224" s="33" t="str">
        <x:v>I05-I09</x:v>
      </x:c>
      <x:c r="C224" s="51" t="str">
        <x:v>Хронические ревматические болезни сердца</x:v>
      </x:c>
      <x:c r="D224" s="33" t="str">
        <x:v>I08</x:v>
      </x:c>
      <x:c r="E224" s="39" t="n">
        <x:v>36</x:v>
      </x:c>
      <x:c r="F224" s="45" t="n">
        <x:v>72</x:v>
      </x:c>
      <x:c r="G224" s="45" t="n">
        <x:v>62.75</x:v>
      </x:c>
      <x:c r="H224" s="45" t="n">
        <x:v>79.5</x:v>
      </x:c>
      <x:c r="I224" s="45" t="n">
        <x:v>70.22222222222223</x:v>
      </x:c>
      <x:c r="J224" s="45" t="n">
        <x:v>32</x:v>
      </x:c>
      <x:c r="K224" s="45" t="n">
        <x:v>97</x:v>
      </x:c>
      <x:c r="L224" s="51" t="str">
        <x:v>Комбинированное поражение митрального и аортального клапанов</x:v>
      </x:c>
      <x:c r="M224" s="45" t="n">
        <x:v>16.75</x:v>
      </x:c>
      <x:c r="N224" s="33" t="str">
        <x:v>False</x:v>
      </x:c>
      <x:c r="O224" s="45" t="n">
        <x:v>9</x:v>
      </x:c>
    </x:row>
    <x:row r="225">
      <x:c r="A225" s="33" t="str">
        <x:v>IX</x:v>
      </x:c>
      <x:c r="B225" s="33" t="str">
        <x:v>I05-I09</x:v>
      </x:c>
      <x:c r="C225" s="51" t="str">
        <x:v>Хронические ревматические болезни сердца</x:v>
      </x:c>
      <x:c r="D225" s="33" t="str">
        <x:v>I09</x:v>
      </x:c>
      <x:c r="E225" s="39" t="n">
        <x:v>1</x:v>
      </x:c>
      <x:c r="F225" s="45" t="n">
        <x:v>68</x:v>
      </x:c>
      <x:c r="G225" s="45" t="n">
        <x:v>68</x:v>
      </x:c>
      <x:c r="H225" s="45" t="n">
        <x:v>68</x:v>
      </x:c>
      <x:c r="I225" s="45" t="n">
        <x:v>68</x:v>
      </x:c>
      <x:c r="J225" s="45" t="n">
        <x:v>68</x:v>
      </x:c>
      <x:c r="K225" s="45" t="n">
        <x:v>68</x:v>
      </x:c>
      <x:c r="L225" s="51" t="str">
        <x:v>Другие уточненные ревматические болезни сердца</x:v>
      </x:c>
      <x:c r="M225" s="45" t="n">
        <x:v>0</x:v>
      </x:c>
      <x:c r="N225" s="33" t="str">
        <x:v>True</x:v>
      </x:c>
      <x:c r="O225" s="45" t="n">
        <x:v>9</x:v>
      </x:c>
    </x:row>
    <x:row r="226">
      <x:c r="A226" s="33" t="str">
        <x:v>IX</x:v>
      </x:c>
      <x:c r="B226" s="33" t="str">
        <x:v>I10-I15</x:v>
      </x:c>
      <x:c r="C226" s="51" t="str">
        <x:v>Болезни, характеризующиеся повышенным кровяным давлением</x:v>
      </x:c>
      <x:c r="D226" s="33" t="str">
        <x:v>I10</x:v>
      </x:c>
      <x:c r="E226" s="39" t="n">
        <x:v>1</x:v>
      </x:c>
      <x:c r="F226" s="45" t="n">
        <x:v>64</x:v>
      </x:c>
      <x:c r="G226" s="45" t="n">
        <x:v>64</x:v>
      </x:c>
      <x:c r="H226" s="45" t="n">
        <x:v>64</x:v>
      </x:c>
      <x:c r="I226" s="45" t="n">
        <x:v>64</x:v>
      </x:c>
      <x:c r="J226" s="45" t="n">
        <x:v>64</x:v>
      </x:c>
      <x:c r="K226" s="45" t="n">
        <x:v>64</x:v>
      </x:c>
      <x:c r="L226" s="51" t="str">
        <x:v>Эссенциальная (первичная) гипертензия</x:v>
      </x:c>
      <x:c r="M226" s="45" t="n">
        <x:v>0</x:v>
      </x:c>
      <x:c r="N226" s="33" t="str">
        <x:v>True</x:v>
      </x:c>
      <x:c r="O226" s="45" t="n">
        <x:v>9</x:v>
      </x:c>
    </x:row>
    <x:row r="227">
      <x:c r="A227" s="33" t="str">
        <x:v>IX</x:v>
      </x:c>
      <x:c r="B227" s="33" t="str">
        <x:v>I10-I15</x:v>
      </x:c>
      <x:c r="C227" s="51" t="str">
        <x:v>Болезни, характеризующиеся повышенным кровяным давлением</x:v>
      </x:c>
      <x:c r="D227" s="33" t="str">
        <x:v>I11</x:v>
      </x:c>
      <x:c r="E227" s="39" t="n">
        <x:v>91</x:v>
      </x:c>
      <x:c r="F227" s="45" t="n">
        <x:v>65</x:v>
      </x:c>
      <x:c r="G227" s="45" t="n">
        <x:v>59</x:v>
      </x:c>
      <x:c r="H227" s="45" t="n">
        <x:v>72</x:v>
      </x:c>
      <x:c r="I227" s="45" t="n">
        <x:v>65.08791208791209</x:v>
      </x:c>
      <x:c r="J227" s="45" t="n">
        <x:v>29</x:v>
      </x:c>
      <x:c r="K227" s="45" t="n">
        <x:v>98</x:v>
      </x:c>
      <x:c r="L227" s="51" t="str">
        <x:v>Гипертензивная [гипертоническая] болезнь с преимущественным поражением сердца с (застойной) сердечной недостаточностью</x:v>
      </x:c>
      <x:c r="M227" s="45" t="n">
        <x:v>13</x:v>
      </x:c>
      <x:c r="N227" s="33" t="str">
        <x:v>False</x:v>
      </x:c>
      <x:c r="O227" s="45" t="n">
        <x:v>9</x:v>
      </x:c>
    </x:row>
    <x:row r="228">
      <x:c r="A228" s="33" t="str">
        <x:v>IX</x:v>
      </x:c>
      <x:c r="B228" s="33" t="str">
        <x:v>I10-I15</x:v>
      </x:c>
      <x:c r="C228" s="51" t="str">
        <x:v>Болезни, характеризующиеся повышенным кровяным давлением</x:v>
      </x:c>
      <x:c r="D228" s="33" t="str">
        <x:v>I12</x:v>
      </x:c>
      <x:c r="E228" s="39" t="n">
        <x:v>11</x:v>
      </x:c>
      <x:c r="F228" s="45" t="n">
        <x:v>83</x:v>
      </x:c>
      <x:c r="G228" s="45" t="n">
        <x:v>70.5</x:v>
      </x:c>
      <x:c r="H228" s="45" t="n">
        <x:v>87</x:v>
      </x:c>
      <x:c r="I228" s="45" t="n">
        <x:v>78</x:v>
      </x:c>
      <x:c r="J228" s="45" t="n">
        <x:v>55</x:v>
      </x:c>
      <x:c r="K228" s="45" t="n">
        <x:v>90</x:v>
      </x:c>
      <x:c r="L228" s="51" t="str">
        <x:v>Гипертензивная болезнь с почечной недостаточностью</x:v>
      </x:c>
      <x:c r="M228" s="45" t="n">
        <x:v>16.5</x:v>
      </x:c>
      <x:c r="N228" s="33" t="str">
        <x:v>False</x:v>
      </x:c>
      <x:c r="O228" s="45" t="n">
        <x:v>9</x:v>
      </x:c>
    </x:row>
    <x:row r="229">
      <x:c r="A229" s="33" t="str">
        <x:v>IX</x:v>
      </x:c>
      <x:c r="B229" s="33" t="str">
        <x:v>I10-I15</x:v>
      </x:c>
      <x:c r="C229" s="51" t="str">
        <x:v>Болезни, характеризующиеся повышенным кровяным давлением</x:v>
      </x:c>
      <x:c r="D229" s="33" t="str">
        <x:v>I13</x:v>
      </x:c>
      <x:c r="E229" s="39" t="n">
        <x:v>26</x:v>
      </x:c>
      <x:c r="F229" s="45" t="n">
        <x:v>65</x:v>
      </x:c>
      <x:c r="G229" s="45" t="n">
        <x:v>60</x:v>
      </x:c>
      <x:c r="H229" s="45" t="n">
        <x:v>75.75</x:v>
      </x:c>
      <x:c r="I229" s="45" t="n">
        <x:v>67.1923076923077</x:v>
      </x:c>
      <x:c r="J229" s="45" t="n">
        <x:v>34</x:v>
      </x:c>
      <x:c r="K229" s="45" t="n">
        <x:v>85</x:v>
      </x:c>
      <x:c r="L229" s="51" t="str">
        <x:v>Гипертензивная болезнь с поражением почек и сердечной недостаточностью</x:v>
      </x:c>
      <x:c r="M229" s="45" t="n">
        <x:v>15.75</x:v>
      </x:c>
      <x:c r="N229" s="33" t="str">
        <x:v>False</x:v>
      </x:c>
      <x:c r="O229" s="45" t="n">
        <x:v>9</x:v>
      </x:c>
    </x:row>
    <x:row r="230">
      <x:c r="A230" s="33" t="str">
        <x:v>IX</x:v>
      </x:c>
      <x:c r="B230" s="33" t="str">
        <x:v>I20-I25</x:v>
      </x:c>
      <x:c r="C230" s="51" t="str">
        <x:v>Ишемическая болезнь сердца</x:v>
      </x:c>
      <x:c r="D230" s="33" t="str">
        <x:v>I20</x:v>
      </x:c>
      <x:c r="E230" s="39" t="n">
        <x:v>1</x:v>
      </x:c>
      <x:c r="F230" s="45" t="n">
        <x:v>64</x:v>
      </x:c>
      <x:c r="G230" s="45" t="n">
        <x:v>64</x:v>
      </x:c>
      <x:c r="H230" s="45" t="n">
        <x:v>64</x:v>
      </x:c>
      <x:c r="I230" s="45" t="n">
        <x:v>64</x:v>
      </x:c>
      <x:c r="J230" s="45" t="n">
        <x:v>64</x:v>
      </x:c>
      <x:c r="K230" s="45" t="n">
        <x:v>64</x:v>
      </x:c>
      <x:c r="L230" s="51" t="str">
        <x:v>Нестабильная стенокардия</x:v>
      </x:c>
      <x:c r="M230" s="45" t="n">
        <x:v>0</x:v>
      </x:c>
      <x:c r="N230" s="33" t="str">
        <x:v>True</x:v>
      </x:c>
      <x:c r="O230" s="45" t="n">
        <x:v>9</x:v>
      </x:c>
    </x:row>
    <x:row r="231">
      <x:c r="A231" s="33" t="str">
        <x:v>IX</x:v>
      </x:c>
      <x:c r="B231" s="33" t="str">
        <x:v>I20-I25</x:v>
      </x:c>
      <x:c r="C231" s="51" t="str">
        <x:v>Ишемическая болезнь сердца</x:v>
      </x:c>
      <x:c r="D231" s="33" t="str">
        <x:v>I21</x:v>
      </x:c>
      <x:c r="E231" s="39" t="n">
        <x:v>1955</x:v>
      </x:c>
      <x:c r="F231" s="45" t="n">
        <x:v>66</x:v>
      </x:c>
      <x:c r="G231" s="45" t="n">
        <x:v>57</x:v>
      </x:c>
      <x:c r="H231" s="45" t="n">
        <x:v>75</x:v>
      </x:c>
      <x:c r="I231" s="45" t="n">
        <x:v>65.55652173913043</x:v>
      </x:c>
      <x:c r="J231" s="45" t="n">
        <x:v>22</x:v>
      </x:c>
      <x:c r="K231" s="45" t="n">
        <x:v>95</x:v>
      </x:c>
      <x:c r="L231" s="51" t="str">
        <x:v>Острый трансмуральный инфаркт передней стенки миокарда</x:v>
      </x:c>
      <x:c r="M231" s="45" t="n">
        <x:v>18</x:v>
      </x:c>
      <x:c r="N231" s="33" t="str">
        <x:v>False</x:v>
      </x:c>
      <x:c r="O231" s="45" t="n">
        <x:v>9</x:v>
      </x:c>
    </x:row>
    <x:row r="232">
      <x:c r="A232" s="33" t="str">
        <x:v>IX</x:v>
      </x:c>
      <x:c r="B232" s="33" t="str">
        <x:v>I20-I25</x:v>
      </x:c>
      <x:c r="C232" s="51" t="str">
        <x:v>Ишемическая болезнь сердца</x:v>
      </x:c>
      <x:c r="D232" s="33" t="str">
        <x:v>I22</x:v>
      </x:c>
      <x:c r="E232" s="39" t="n">
        <x:v>350</x:v>
      </x:c>
      <x:c r="F232" s="45" t="n">
        <x:v>67</x:v>
      </x:c>
      <x:c r="G232" s="45" t="n">
        <x:v>60</x:v>
      </x:c>
      <x:c r="H232" s="45" t="n">
        <x:v>76</x:v>
      </x:c>
      <x:c r="I232" s="45" t="n">
        <x:v>67.56857142857143</x:v>
      </x:c>
      <x:c r="J232" s="45" t="n">
        <x:v>36</x:v>
      </x:c>
      <x:c r="K232" s="45" t="n">
        <x:v>93</x:v>
      </x:c>
      <x:c r="L232" s="51" t="str">
        <x:v>Повторный инфаркт передней стенки миокарда</x:v>
      </x:c>
      <x:c r="M232" s="45" t="n">
        <x:v>16</x:v>
      </x:c>
      <x:c r="N232" s="33" t="str">
        <x:v>False</x:v>
      </x:c>
      <x:c r="O232" s="45" t="n">
        <x:v>9</x:v>
      </x:c>
    </x:row>
    <x:row r="233">
      <x:c r="A233" s="33" t="str">
        <x:v>IX</x:v>
      </x:c>
      <x:c r="B233" s="33" t="str">
        <x:v>I20-I25</x:v>
      </x:c>
      <x:c r="C233" s="51" t="str">
        <x:v>Ишемическая болезнь сердца</x:v>
      </x:c>
      <x:c r="D233" s="33" t="str">
        <x:v>I24</x:v>
      </x:c>
      <x:c r="E233" s="39" t="n">
        <x:v>386</x:v>
      </x:c>
      <x:c r="F233" s="45" t="n">
        <x:v>60</x:v>
      </x:c>
      <x:c r="G233" s="45" t="n">
        <x:v>48</x:v>
      </x:c>
      <x:c r="H233" s="45" t="n">
        <x:v>68</x:v>
      </x:c>
      <x:c r="I233" s="45" t="n">
        <x:v>58.27461139896373</x:v>
      </x:c>
      <x:c r="J233" s="45" t="n">
        <x:v>20</x:v>
      </x:c>
      <x:c r="K233" s="45" t="n">
        <x:v>94</x:v>
      </x:c>
      <x:c r="L233" s="51" t="str">
        <x:v>Другие формы острой ишемической болезни сердца</x:v>
      </x:c>
      <x:c r="M233" s="45" t="n">
        <x:v>20</x:v>
      </x:c>
      <x:c r="N233" s="33" t="str">
        <x:v>False</x:v>
      </x:c>
      <x:c r="O233" s="45" t="n">
        <x:v>9</x:v>
      </x:c>
    </x:row>
    <x:row r="234">
      <x:c r="A234" s="33" t="str">
        <x:v>IX</x:v>
      </x:c>
      <x:c r="B234" s="33" t="str">
        <x:v>I20-I25</x:v>
      </x:c>
      <x:c r="C234" s="51" t="str">
        <x:v>Ишемическая болезнь сердца</x:v>
      </x:c>
      <x:c r="D234" s="33" t="str">
        <x:v>I25</x:v>
      </x:c>
      <x:c r="E234" s="39" t="n">
        <x:v>4157</x:v>
      </x:c>
      <x:c r="F234" s="45" t="n">
        <x:v>74</x:v>
      </x:c>
      <x:c r="G234" s="45" t="n">
        <x:v>65</x:v>
      </x:c>
      <x:c r="H234" s="45" t="n">
        <x:v>82</x:v>
      </x:c>
      <x:c r="I234" s="45" t="n">
        <x:v>73.24633148905461</x:v>
      </x:c>
      <x:c r="J234" s="45" t="n">
        <x:v>17</x:v>
      </x:c>
      <x:c r="K234" s="45" t="n">
        <x:v>102</x:v>
      </x:c>
      <x:c r="L234" s="51" t="str">
        <x:v>Другие формы хронической ишемической болезни сердца</x:v>
      </x:c>
      <x:c r="M234" s="45" t="n">
        <x:v>17</x:v>
      </x:c>
      <x:c r="N234" s="33" t="str">
        <x:v>False</x:v>
      </x:c>
      <x:c r="O234" s="45" t="n">
        <x:v>9</x:v>
      </x:c>
    </x:row>
    <x:row r="235">
      <x:c r="A235" s="33" t="str">
        <x:v>IX</x:v>
      </x:c>
      <x:c r="B235" s="33" t="str">
        <x:v>I26-I28</x:v>
      </x:c>
      <x:c r="C235" s="51" t="str">
        <x:v>Легочное сердце и нарушения легочного кровообращения</x:v>
      </x:c>
      <x:c r="D235" s="33" t="str">
        <x:v>I26</x:v>
      </x:c>
      <x:c r="E235" s="39" t="n">
        <x:v>10</x:v>
      </x:c>
      <x:c r="F235" s="45" t="n">
        <x:v>67.5</x:v>
      </x:c>
      <x:c r="G235" s="45" t="n">
        <x:v>46.25</x:v>
      </x:c>
      <x:c r="H235" s="45" t="n">
        <x:v>73.75</x:v>
      </x:c>
      <x:c r="I235" s="45" t="n">
        <x:v>59.3</x:v>
      </x:c>
      <x:c r="J235" s="45" t="n">
        <x:v>21</x:v>
      </x:c>
      <x:c r="K235" s="45" t="n">
        <x:v>87</x:v>
      </x:c>
      <x:c r="L235" s="51" t="str">
        <x:v>Тромбоэмболия легочной артерии без острого легочным сердцем</x:v>
      </x:c>
      <x:c r="M235" s="45" t="n">
        <x:v>27.5</x:v>
      </x:c>
      <x:c r="N235" s="33" t="str">
        <x:v>False</x:v>
      </x:c>
      <x:c r="O235" s="45" t="n">
        <x:v>9</x:v>
      </x:c>
    </x:row>
    <x:row r="236">
      <x:c r="A236" s="33" t="str">
        <x:v>IX</x:v>
      </x:c>
      <x:c r="B236" s="33" t="str">
        <x:v>I26-I28</x:v>
      </x:c>
      <x:c r="C236" s="51" t="str">
        <x:v>Легочное сердце и нарушения легочного кровообращения</x:v>
      </x:c>
      <x:c r="D236" s="33" t="str">
        <x:v>I27</x:v>
      </x:c>
      <x:c r="E236" s="39" t="n">
        <x:v>3</x:v>
      </x:c>
      <x:c r="F236" s="45" t="n">
        <x:v>54</x:v>
      </x:c>
      <x:c r="G236" s="45" t="n">
        <x:v>52.5</x:v>
      </x:c>
      <x:c r="H236" s="45" t="n">
        <x:v>61</x:v>
      </x:c>
      <x:c r="I236" s="45" t="n">
        <x:v>57.666666666666664</x:v>
      </x:c>
      <x:c r="J236" s="45" t="n">
        <x:v>51</x:v>
      </x:c>
      <x:c r="K236" s="45" t="n">
        <x:v>68</x:v>
      </x:c>
      <x:c r="L236" s="51" t="str">
        <x:v>Первичная легочная гипертензия</x:v>
      </x:c>
      <x:c r="M236" s="45" t="n">
        <x:v>8.5</x:v>
      </x:c>
      <x:c r="N236" s="33" t="str">
        <x:v>True</x:v>
      </x:c>
      <x:c r="O236" s="45" t="n">
        <x:v>9</x:v>
      </x:c>
    </x:row>
    <x:row r="237">
      <x:c r="A237" s="33" t="str">
        <x:v>IX</x:v>
      </x:c>
      <x:c r="B237" s="33" t="str">
        <x:v>I26-I28</x:v>
      </x:c>
      <x:c r="C237" s="51" t="str">
        <x:v>Легочное сердце и нарушения легочного кровообращения</x:v>
      </x:c>
      <x:c r="D237" s="33" t="str">
        <x:v>I28</x:v>
      </x:c>
      <x:c r="E237" s="39" t="n">
        <x:v>7</x:v>
      </x:c>
      <x:c r="F237" s="45" t="n">
        <x:v>67</x:v>
      </x:c>
      <x:c r="G237" s="45" t="n">
        <x:v>64</x:v>
      </x:c>
      <x:c r="H237" s="45" t="n">
        <x:v>69.5</x:v>
      </x:c>
      <x:c r="I237" s="45" t="n">
        <x:v>68.28571428571429</x:v>
      </x:c>
      <x:c r="J237" s="45" t="n">
        <x:v>53</x:v>
      </x:c>
      <x:c r="K237" s="45" t="n">
        <x:v>91</x:v>
      </x:c>
      <x:c r="L237" s="51" t="str">
        <x:v>Другие уточненные болезни легочных сосудов</x:v>
      </x:c>
      <x:c r="M237" s="45" t="n">
        <x:v>5.5</x:v>
      </x:c>
      <x:c r="N237" s="33" t="str">
        <x:v>False</x:v>
      </x:c>
      <x:c r="O237" s="45" t="n">
        <x:v>9</x:v>
      </x:c>
    </x:row>
    <x:row r="238">
      <x:c r="A238" s="33" t="str">
        <x:v>IX</x:v>
      </x:c>
      <x:c r="B238" s="33" t="str">
        <x:v>I30-I52</x:v>
      </x:c>
      <x:c r="C238" s="51" t="str">
        <x:v>Другие болезни сердца</x:v>
      </x:c>
      <x:c r="D238" s="33" t="str">
        <x:v>I30</x:v>
      </x:c>
      <x:c r="E238" s="39" t="n">
        <x:v>15</x:v>
      </x:c>
      <x:c r="F238" s="45" t="n">
        <x:v>70</x:v>
      </x:c>
      <x:c r="G238" s="45" t="n">
        <x:v>65.5</x:v>
      </x:c>
      <x:c r="H238" s="45" t="n">
        <x:v>81</x:v>
      </x:c>
      <x:c r="I238" s="45" t="n">
        <x:v>72.4</x:v>
      </x:c>
      <x:c r="J238" s="45" t="n">
        <x:v>49</x:v>
      </x:c>
      <x:c r="K238" s="45" t="n">
        <x:v>91</x:v>
      </x:c>
      <x:c r="L238" s="51" t="str">
        <x:v>Острый неспецифический идиопатический перикардит</x:v>
      </x:c>
      <x:c r="M238" s="45" t="n">
        <x:v>15.5</x:v>
      </x:c>
      <x:c r="N238" s="33" t="str">
        <x:v>False</x:v>
      </x:c>
      <x:c r="O238" s="45" t="n">
        <x:v>9</x:v>
      </x:c>
    </x:row>
    <x:row r="239">
      <x:c r="A239" s="33" t="str">
        <x:v>IX</x:v>
      </x:c>
      <x:c r="B239" s="33" t="str">
        <x:v>I30-I52</x:v>
      </x:c>
      <x:c r="C239" s="51" t="str">
        <x:v>Другие болезни сердца</x:v>
      </x:c>
      <x:c r="D239" s="33" t="str">
        <x:v>I31</x:v>
      </x:c>
      <x:c r="E239" s="39" t="n">
        <x:v>9</x:v>
      </x:c>
      <x:c r="F239" s="45" t="n">
        <x:v>68</x:v>
      </x:c>
      <x:c r="G239" s="45" t="n">
        <x:v>50</x:v>
      </x:c>
      <x:c r="H239" s="45" t="n">
        <x:v>74</x:v>
      </x:c>
      <x:c r="I239" s="45" t="n">
        <x:v>62.666666666666664</x:v>
      </x:c>
      <x:c r="J239" s="45" t="n">
        <x:v>43</x:v>
      </x:c>
      <x:c r="K239" s="45" t="n">
        <x:v>83</x:v>
      </x:c>
      <x:c r="L239" s="51" t="str">
        <x:v>Хронический перикардит</x:v>
      </x:c>
      <x:c r="M239" s="45" t="n">
        <x:v>24</x:v>
      </x:c>
      <x:c r="N239" s="33" t="str">
        <x:v>False</x:v>
      </x:c>
      <x:c r="O239" s="45" t="n">
        <x:v>9</x:v>
      </x:c>
    </x:row>
    <x:row r="240">
      <x:c r="A240" s="33" t="str">
        <x:v>IX</x:v>
      </x:c>
      <x:c r="B240" s="33" t="str">
        <x:v>I30-I52</x:v>
      </x:c>
      <x:c r="C240" s="51" t="str">
        <x:v>Другие болезни сердца</x:v>
      </x:c>
      <x:c r="D240" s="33" t="str">
        <x:v>I33</x:v>
      </x:c>
      <x:c r="E240" s="39" t="n">
        <x:v>82</x:v>
      </x:c>
      <x:c r="F240" s="45" t="n">
        <x:v>43</x:v>
      </x:c>
      <x:c r="G240" s="45" t="n">
        <x:v>38</x:v>
      </x:c>
      <x:c r="H240" s="45" t="n">
        <x:v>56</x:v>
      </x:c>
      <x:c r="I240" s="45" t="n">
        <x:v>46.97560975609756</x:v>
      </x:c>
      <x:c r="J240" s="45" t="n">
        <x:v>26</x:v>
      </x:c>
      <x:c r="K240" s="45" t="n">
        <x:v>87</x:v>
      </x:c>
      <x:c r="L240" s="51" t="str">
        <x:v>Острый и подострый инфекционный эндокардит</x:v>
      </x:c>
      <x:c r="M240" s="45" t="n">
        <x:v>18</x:v>
      </x:c>
      <x:c r="N240" s="33" t="str">
        <x:v>False</x:v>
      </x:c>
      <x:c r="O240" s="45" t="n">
        <x:v>9</x:v>
      </x:c>
    </x:row>
    <x:row r="241">
      <x:c r="A241" s="33" t="str">
        <x:v>IX</x:v>
      </x:c>
      <x:c r="B241" s="33" t="str">
        <x:v>I30-I52</x:v>
      </x:c>
      <x:c r="C241" s="51" t="str">
        <x:v>Другие болезни сердца</x:v>
      </x:c>
      <x:c r="D241" s="33" t="str">
        <x:v>I34</x:v>
      </x:c>
      <x:c r="E241" s="39" t="n">
        <x:v>110</x:v>
      </x:c>
      <x:c r="F241" s="45" t="n">
        <x:v>78</x:v>
      </x:c>
      <x:c r="G241" s="45" t="n">
        <x:v>70</x:v>
      </x:c>
      <x:c r="H241" s="45" t="n">
        <x:v>84</x:v>
      </x:c>
      <x:c r="I241" s="45" t="n">
        <x:v>75.48181818181818</x:v>
      </x:c>
      <x:c r="J241" s="45" t="n">
        <x:v>28</x:v>
      </x:c>
      <x:c r="K241" s="45" t="n">
        <x:v>94</x:v>
      </x:c>
      <x:c r="L241" s="51" t="str">
        <x:v>Митральная (клапанная) недостаточность</x:v>
      </x:c>
      <x:c r="M241" s="45" t="n">
        <x:v>14</x:v>
      </x:c>
      <x:c r="N241" s="33" t="str">
        <x:v>False</x:v>
      </x:c>
      <x:c r="O241" s="45" t="n">
        <x:v>9</x:v>
      </x:c>
    </x:row>
    <x:row r="242">
      <x:c r="A242" s="33" t="str">
        <x:v>IX</x:v>
      </x:c>
      <x:c r="B242" s="33" t="str">
        <x:v>I30-I52</x:v>
      </x:c>
      <x:c r="C242" s="51" t="str">
        <x:v>Другие болезни сердца</x:v>
      </x:c>
      <x:c r="D242" s="33" t="str">
        <x:v>I35</x:v>
      </x:c>
      <x:c r="E242" s="39" t="n">
        <x:v>357</x:v>
      </x:c>
      <x:c r="F242" s="45" t="n">
        <x:v>80</x:v>
      </x:c>
      <x:c r="G242" s="45" t="n">
        <x:v>71</x:v>
      </x:c>
      <x:c r="H242" s="45" t="n">
        <x:v>86</x:v>
      </x:c>
      <x:c r="I242" s="45" t="n">
        <x:v>78.25770308123249</x:v>
      </x:c>
      <x:c r="J242" s="45" t="n">
        <x:v>37</x:v>
      </x:c>
      <x:c r="K242" s="45" t="n">
        <x:v>100</x:v>
      </x:c>
      <x:c r="L242" s="51" t="str">
        <x:v>Аортальный (клапанный) стеноз</x:v>
      </x:c>
      <x:c r="M242" s="45" t="n">
        <x:v>15</x:v>
      </x:c>
      <x:c r="N242" s="33" t="str">
        <x:v>False</x:v>
      </x:c>
      <x:c r="O242" s="45" t="n">
        <x:v>9</x:v>
      </x:c>
    </x:row>
    <x:row r="243">
      <x:c r="A243" s="33" t="str">
        <x:v>IX</x:v>
      </x:c>
      <x:c r="B243" s="33" t="str">
        <x:v>I30-I52</x:v>
      </x:c>
      <x:c r="C243" s="51" t="str">
        <x:v>Другие болезни сердца</x:v>
      </x:c>
      <x:c r="D243" s="33" t="str">
        <x:v>I36</x:v>
      </x:c>
      <x:c r="E243" s="39" t="n">
        <x:v>16</x:v>
      </x:c>
      <x:c r="F243" s="45" t="n">
        <x:v>80</x:v>
      </x:c>
      <x:c r="G243" s="45" t="n">
        <x:v>73.5</x:v>
      </x:c>
      <x:c r="H243" s="45" t="n">
        <x:v>84.25</x:v>
      </x:c>
      <x:c r="I243" s="45" t="n">
        <x:v>76.3125</x:v>
      </x:c>
      <x:c r="J243" s="45" t="n">
        <x:v>47</x:v>
      </x:c>
      <x:c r="K243" s="45" t="n">
        <x:v>95</x:v>
      </x:c>
      <x:c r="L243" s="51" t="str">
        <x:v>Неревматическая недостаточность трехстворчатого клапана</x:v>
      </x:c>
      <x:c r="M243" s="45" t="n">
        <x:v>10.75</x:v>
      </x:c>
      <x:c r="N243" s="33" t="str">
        <x:v>False</x:v>
      </x:c>
      <x:c r="O243" s="45" t="n">
        <x:v>9</x:v>
      </x:c>
    </x:row>
    <x:row r="244">
      <x:c r="A244" s="33" t="str">
        <x:v>IX</x:v>
      </x:c>
      <x:c r="B244" s="33" t="str">
        <x:v>I30-I52</x:v>
      </x:c>
      <x:c r="C244" s="51" t="str">
        <x:v>Другие болезни сердца</x:v>
      </x:c>
      <x:c r="D244" s="33" t="str">
        <x:v>I37</x:v>
      </x:c>
      <x:c r="E244" s="39" t="n">
        <x:v>1</x:v>
      </x:c>
      <x:c r="F244" s="45" t="n">
        <x:v>45</x:v>
      </x:c>
      <x:c r="G244" s="45" t="n">
        <x:v>45</x:v>
      </x:c>
      <x:c r="H244" s="45" t="n">
        <x:v>45</x:v>
      </x:c>
      <x:c r="I244" s="45" t="n">
        <x:v>45</x:v>
      </x:c>
      <x:c r="J244" s="45" t="n">
        <x:v>45</x:v>
      </x:c>
      <x:c r="K244" s="45" t="n">
        <x:v>45</x:v>
      </x:c>
      <x:c r="L244" s="51" t="str">
        <x:v>Стеноз клапана легочной артерии</x:v>
      </x:c>
      <x:c r="M244" s="45" t="n">
        <x:v>0</x:v>
      </x:c>
      <x:c r="N244" s="33" t="str">
        <x:v>True</x:v>
      </x:c>
      <x:c r="O244" s="45" t="n">
        <x:v>9</x:v>
      </x:c>
    </x:row>
    <x:row r="245">
      <x:c r="A245" s="33" t="str">
        <x:v>IX</x:v>
      </x:c>
      <x:c r="B245" s="33" t="str">
        <x:v>I30-I52</x:v>
      </x:c>
      <x:c r="C245" s="51" t="str">
        <x:v>Другие болезни сердца</x:v>
      </x:c>
      <x:c r="D245" s="33" t="str">
        <x:v>I38</x:v>
      </x:c>
      <x:c r="E245" s="39" t="n">
        <x:v>1</x:v>
      </x:c>
      <x:c r="F245" s="45" t="n">
        <x:v>45</x:v>
      </x:c>
      <x:c r="G245" s="45" t="n">
        <x:v>45</x:v>
      </x:c>
      <x:c r="H245" s="45" t="n">
        <x:v>45</x:v>
      </x:c>
      <x:c r="I245" s="45" t="n">
        <x:v>45</x:v>
      </x:c>
      <x:c r="J245" s="45" t="n">
        <x:v>45</x:v>
      </x:c>
      <x:c r="K245" s="45" t="n">
        <x:v>45</x:v>
      </x:c>
      <x:c r="L245" s="51" t="str">
        <x:v>Эндокардит неуточненный</x:v>
      </x:c>
      <x:c r="M245" s="45" t="n">
        <x:v>0</x:v>
      </x:c>
      <x:c r="N245" s="33" t="str">
        <x:v>True</x:v>
      </x:c>
      <x:c r="O245" s="45" t="n">
        <x:v>9</x:v>
      </x:c>
    </x:row>
    <x:row r="246">
      <x:c r="A246" s="33" t="str">
        <x:v>IX</x:v>
      </x:c>
      <x:c r="B246" s="33" t="str">
        <x:v>I30-I52</x:v>
      </x:c>
      <x:c r="C246" s="51" t="str">
        <x:v>Другие болезни сердца</x:v>
      </x:c>
      <x:c r="D246" s="33" t="str">
        <x:v>I40</x:v>
      </x:c>
      <x:c r="E246" s="39" t="n">
        <x:v>25</x:v>
      </x:c>
      <x:c r="F246" s="45" t="n">
        <x:v>46</x:v>
      </x:c>
      <x:c r="G246" s="45" t="n">
        <x:v>32</x:v>
      </x:c>
      <x:c r="H246" s="45" t="n">
        <x:v>60</x:v>
      </x:c>
      <x:c r="I246" s="45" t="n">
        <x:v>45.32</x:v>
      </x:c>
      <x:c r="J246" s="45" t="n">
        <x:v>19</x:v>
      </x:c>
      <x:c r="K246" s="45" t="n">
        <x:v>74</x:v>
      </x:c>
      <x:c r="L246" s="51" t="str">
        <x:v>Инфекционный миокардит</x:v>
      </x:c>
      <x:c r="M246" s="45" t="n">
        <x:v>28</x:v>
      </x:c>
      <x:c r="N246" s="33" t="str">
        <x:v>False</x:v>
      </x:c>
      <x:c r="O246" s="45" t="n">
        <x:v>9</x:v>
      </x:c>
    </x:row>
    <x:row r="247">
      <x:c r="A247" s="33" t="str">
        <x:v>IX</x:v>
      </x:c>
      <x:c r="B247" s="33" t="str">
        <x:v>I30-I52</x:v>
      </x:c>
      <x:c r="C247" s="51" t="str">
        <x:v>Другие болезни сердца</x:v>
      </x:c>
      <x:c r="D247" s="33" t="str">
        <x:v>I42</x:v>
      </x:c>
      <x:c r="E247" s="39" t="n">
        <x:v>1076</x:v>
      </x:c>
      <x:c r="F247" s="45" t="n">
        <x:v>60</x:v>
      </x:c>
      <x:c r="G247" s="45" t="n">
        <x:v>51</x:v>
      </x:c>
      <x:c r="H247" s="45" t="n">
        <x:v>69</x:v>
      </x:c>
      <x:c r="I247" s="45" t="n">
        <x:v>60.05576208178439</x:v>
      </x:c>
      <x:c r="J247" s="45" t="n">
        <x:v>10</x:v>
      </x:c>
      <x:c r="K247" s="45" t="n">
        <x:v>93</x:v>
      </x:c>
      <x:c r="L247" s="51" t="str">
        <x:v>Дилатационная кардиомиопатия</x:v>
      </x:c>
      <x:c r="M247" s="45" t="n">
        <x:v>18</x:v>
      </x:c>
      <x:c r="N247" s="33" t="str">
        <x:v>False</x:v>
      </x:c>
      <x:c r="O247" s="45" t="n">
        <x:v>9</x:v>
      </x:c>
    </x:row>
    <x:row r="248">
      <x:c r="A248" s="33" t="str">
        <x:v>IX</x:v>
      </x:c>
      <x:c r="B248" s="33" t="str">
        <x:v>I30-I52</x:v>
      </x:c>
      <x:c r="C248" s="51" t="str">
        <x:v>Другие болезни сердца</x:v>
      </x:c>
      <x:c r="D248" s="33" t="str">
        <x:v>I44</x:v>
      </x:c>
      <x:c r="E248" s="39" t="n">
        <x:v>2</x:v>
      </x:c>
      <x:c r="F248" s="45" t="n">
        <x:v>43.5</x:v>
      </x:c>
      <x:c r="G248" s="45" t="n">
        <x:v>33.75</x:v>
      </x:c>
      <x:c r="H248" s="45" t="n">
        <x:v>53.25</x:v>
      </x:c>
      <x:c r="I248" s="45" t="n">
        <x:v>43.5</x:v>
      </x:c>
      <x:c r="J248" s="45" t="n">
        <x:v>24</x:v>
      </x:c>
      <x:c r="K248" s="45" t="n">
        <x:v>63</x:v>
      </x:c>
      <x:c r="L248" s="51" t="str">
        <x:v>Атриовентрикулярная блокада III степени</x:v>
      </x:c>
      <x:c r="M248" s="45" t="n">
        <x:v>19.5</x:v>
      </x:c>
      <x:c r="N248" s="33" t="str">
        <x:v>True</x:v>
      </x:c>
      <x:c r="O248" s="45" t="n">
        <x:v>9</x:v>
      </x:c>
    </x:row>
    <x:row r="249">
      <x:c r="A249" s="33" t="str">
        <x:v>IX</x:v>
      </x:c>
      <x:c r="B249" s="33" t="str">
        <x:v>I30-I52</x:v>
      </x:c>
      <x:c r="C249" s="51" t="str">
        <x:v>Другие болезни сердца</x:v>
      </x:c>
      <x:c r="D249" s="33" t="str">
        <x:v>I45</x:v>
      </x:c>
      <x:c r="E249" s="39" t="n">
        <x:v>2</x:v>
      </x:c>
      <x:c r="F249" s="45" t="n">
        <x:v>34</x:v>
      </x:c>
      <x:c r="G249" s="45" t="n">
        <x:v>27.5</x:v>
      </x:c>
      <x:c r="H249" s="45" t="n">
        <x:v>40.5</x:v>
      </x:c>
      <x:c r="I249" s="45" t="n">
        <x:v>34</x:v>
      </x:c>
      <x:c r="J249" s="45" t="n">
        <x:v>21</x:v>
      </x:c>
      <x:c r="K249" s="45" t="n">
        <x:v>47</x:v>
      </x:c>
      <x:c r="L249" s="51" t="str">
        <x:v>Синдром преждевременного возбуждения</x:v>
      </x:c>
      <x:c r="M249" s="45" t="n">
        <x:v>13</x:v>
      </x:c>
      <x:c r="N249" s="33" t="str">
        <x:v>True</x:v>
      </x:c>
      <x:c r="O249" s="45" t="n">
        <x:v>9</x:v>
      </x:c>
    </x:row>
    <x:row r="250">
      <x:c r="A250" s="33" t="str">
        <x:v>IX</x:v>
      </x:c>
      <x:c r="B250" s="33" t="str">
        <x:v>I30-I52</x:v>
      </x:c>
      <x:c r="C250" s="51" t="str">
        <x:v>Другие болезни сердца</x:v>
      </x:c>
      <x:c r="D250" s="33" t="str">
        <x:v>I46</x:v>
      </x:c>
      <x:c r="E250" s="39" t="n">
        <x:v>273</x:v>
      </x:c>
      <x:c r="F250" s="45" t="n">
        <x:v>54</x:v>
      </x:c>
      <x:c r="G250" s="45" t="n">
        <x:v>44</x:v>
      </x:c>
      <x:c r="H250" s="45" t="n">
        <x:v>64</x:v>
      </x:c>
      <x:c r="I250" s="45" t="n">
        <x:v>53.62271062271062</x:v>
      </x:c>
      <x:c r="J250" s="45" t="n">
        <x:v>8</x:v>
      </x:c>
      <x:c r="K250" s="45" t="n">
        <x:v>87</x:v>
      </x:c>
      <x:c r="L250" s="51" t="str">
        <x:v>Внезапная сердечная смерть, так описанная</x:v>
      </x:c>
      <x:c r="M250" s="45" t="n">
        <x:v>20</x:v>
      </x:c>
      <x:c r="N250" s="33" t="str">
        <x:v>False</x:v>
      </x:c>
      <x:c r="O250" s="45" t="n">
        <x:v>9</x:v>
      </x:c>
    </x:row>
    <x:row r="251">
      <x:c r="A251" s="33" t="str">
        <x:v>IX</x:v>
      </x:c>
      <x:c r="B251" s="33" t="str">
        <x:v>I30-I52</x:v>
      </x:c>
      <x:c r="C251" s="51" t="str">
        <x:v>Другие болезни сердца</x:v>
      </x:c>
      <x:c r="D251" s="33" t="str">
        <x:v>I48</x:v>
      </x:c>
      <x:c r="E251" s="39" t="n">
        <x:v>3</x:v>
      </x:c>
      <x:c r="F251" s="45" t="n">
        <x:v>86</x:v>
      </x:c>
      <x:c r="G251" s="45" t="n">
        <x:v>74</x:v>
      </x:c>
      <x:c r="H251" s="45" t="n">
        <x:v>86</x:v>
      </x:c>
      <x:c r="I251" s="45" t="n">
        <x:v>78</x:v>
      </x:c>
      <x:c r="J251" s="45" t="n">
        <x:v>62</x:v>
      </x:c>
      <x:c r="K251" s="45" t="n">
        <x:v>86</x:v>
      </x:c>
      <x:c r="L251" s="51" t="str">
        <x:v>Фибрилляция и трепетание предсердий</x:v>
      </x:c>
      <x:c r="M251" s="45" t="n">
        <x:v>12</x:v>
      </x:c>
      <x:c r="N251" s="33" t="str">
        <x:v>True</x:v>
      </x:c>
      <x:c r="O251" s="45" t="n">
        <x:v>9</x:v>
      </x:c>
    </x:row>
    <x:row r="252">
      <x:c r="A252" s="33" t="str">
        <x:v>IX</x:v>
      </x:c>
      <x:c r="B252" s="33" t="str">
        <x:v>I30-I52</x:v>
      </x:c>
      <x:c r="C252" s="51" t="str">
        <x:v>Другие болезни сердца</x:v>
      </x:c>
      <x:c r="D252" s="33" t="str">
        <x:v>I49</x:v>
      </x:c>
      <x:c r="E252" s="39" t="n">
        <x:v>1</x:v>
      </x:c>
      <x:c r="F252" s="45" t="n">
        <x:v>78</x:v>
      </x:c>
      <x:c r="G252" s="45" t="n">
        <x:v>78</x:v>
      </x:c>
      <x:c r="H252" s="45" t="n">
        <x:v>78</x:v>
      </x:c>
      <x:c r="I252" s="45" t="n">
        <x:v>78</x:v>
      </x:c>
      <x:c r="J252" s="45" t="n">
        <x:v>78</x:v>
      </x:c>
      <x:c r="K252" s="45" t="n">
        <x:v>78</x:v>
      </x:c>
      <x:c r="L252" s="51" t="str">
        <x:v>Другие сердечные аритмии</x:v>
      </x:c>
      <x:c r="M252" s="45" t="n">
        <x:v>0</x:v>
      </x:c>
      <x:c r="N252" s="33" t="str">
        <x:v>True</x:v>
      </x:c>
      <x:c r="O252" s="45" t="n">
        <x:v>9</x:v>
      </x:c>
    </x:row>
    <x:row r="253">
      <x:c r="A253" s="33" t="str">
        <x:v>IX</x:v>
      </x:c>
      <x:c r="B253" s="33" t="str">
        <x:v>I30-I52</x:v>
      </x:c>
      <x:c r="C253" s="51" t="str">
        <x:v>Другие болезни сердца</x:v>
      </x:c>
      <x:c r="D253" s="33" t="str">
        <x:v>I50</x:v>
      </x:c>
      <x:c r="E253" s="39" t="n">
        <x:v>1</x:v>
      </x:c>
      <x:c r="F253" s="45" t="n">
        <x:v>41</x:v>
      </x:c>
      <x:c r="G253" s="45" t="n">
        <x:v>41</x:v>
      </x:c>
      <x:c r="H253" s="45" t="n">
        <x:v>41</x:v>
      </x:c>
      <x:c r="I253" s="45" t="n">
        <x:v>41</x:v>
      </x:c>
      <x:c r="J253" s="45" t="n">
        <x:v>41</x:v>
      </x:c>
      <x:c r="K253" s="45" t="n">
        <x:v>41</x:v>
      </x:c>
      <x:c r="L253" s="51" t="str">
        <x:v>Сердечная недостаточность неуточненная</x:v>
      </x:c>
      <x:c r="M253" s="45" t="n">
        <x:v>0</x:v>
      </x:c>
      <x:c r="N253" s="33" t="str">
        <x:v>True</x:v>
      </x:c>
      <x:c r="O253" s="45" t="n">
        <x:v>9</x:v>
      </x:c>
    </x:row>
    <x:row r="254">
      <x:c r="A254" s="33" t="str">
        <x:v>IX</x:v>
      </x:c>
      <x:c r="B254" s="33" t="str">
        <x:v>I30-I52</x:v>
      </x:c>
      <x:c r="C254" s="51" t="str">
        <x:v>Другие болезни сердца</x:v>
      </x:c>
      <x:c r="D254" s="33" t="str">
        <x:v>I51</x:v>
      </x:c>
      <x:c r="E254" s="39" t="n">
        <x:v>85</x:v>
      </x:c>
      <x:c r="F254" s="45" t="n">
        <x:v>76</x:v>
      </x:c>
      <x:c r="G254" s="45" t="n">
        <x:v>67</x:v>
      </x:c>
      <x:c r="H254" s="45" t="n">
        <x:v>83</x:v>
      </x:c>
      <x:c r="I254" s="45" t="n">
        <x:v>74.17647058823529</x:v>
      </x:c>
      <x:c r="J254" s="45" t="n">
        <x:v>28</x:v>
      </x:c>
      <x:c r="K254" s="45" t="n">
        <x:v>99</x:v>
      </x:c>
      <x:c r="L254" s="51" t="str">
        <x:v>Внутрисердечный тромбоз, не классифицированный в других рубриках</x:v>
      </x:c>
      <x:c r="M254" s="45" t="n">
        <x:v>16</x:v>
      </x:c>
      <x:c r="N254" s="33" t="str">
        <x:v>False</x:v>
      </x:c>
      <x:c r="O254" s="45" t="n">
        <x:v>9</x:v>
      </x:c>
    </x:row>
    <x:row r="255">
      <x:c r="A255" s="33" t="str">
        <x:v>IX</x:v>
      </x:c>
      <x:c r="B255" s="33" t="str">
        <x:v>I60-I69</x:v>
      </x:c>
      <x:c r="C255" s="51" t="str">
        <x:v>Цереброваскулярные болезни</x:v>
      </x:c>
      <x:c r="D255" s="33" t="str">
        <x:v>I60</x:v>
      </x:c>
      <x:c r="E255" s="39" t="n">
        <x:v>239</x:v>
      </x:c>
      <x:c r="F255" s="45" t="n">
        <x:v>56</x:v>
      </x:c>
      <x:c r="G255" s="45" t="n">
        <x:v>46.5</x:v>
      </x:c>
      <x:c r="H255" s="45" t="n">
        <x:v>68</x:v>
      </x:c>
      <x:c r="I255" s="45" t="n">
        <x:v>57.33472803347281</x:v>
      </x:c>
      <x:c r="J255" s="45" t="n">
        <x:v>20</x:v>
      </x:c>
      <x:c r="K255" s="45" t="n">
        <x:v>95</x:v>
      </x:c>
      <x:c r="L255" s="51" t="str">
        <x:v>Субарахноидальное кровоизлияние из средней мозговой артерии</x:v>
      </x:c>
      <x:c r="M255" s="45" t="n">
        <x:v>21.5</x:v>
      </x:c>
      <x:c r="N255" s="33" t="str">
        <x:v>False</x:v>
      </x:c>
      <x:c r="O255" s="45" t="n">
        <x:v>9</x:v>
      </x:c>
    </x:row>
    <x:row r="256">
      <x:c r="A256" s="33" t="str">
        <x:v>IX</x:v>
      </x:c>
      <x:c r="B256" s="33" t="str">
        <x:v>I60-I69</x:v>
      </x:c>
      <x:c r="C256" s="51" t="str">
        <x:v>Цереброваскулярные болезни</x:v>
      </x:c>
      <x:c r="D256" s="33" t="str">
        <x:v>I61</x:v>
      </x:c>
      <x:c r="E256" s="39" t="n">
        <x:v>1220</x:v>
      </x:c>
      <x:c r="F256" s="45" t="n">
        <x:v>62</x:v>
      </x:c>
      <x:c r="G256" s="45" t="n">
        <x:v>53</x:v>
      </x:c>
      <x:c r="H256" s="45" t="n">
        <x:v>71</x:v>
      </x:c>
      <x:c r="I256" s="45" t="n">
        <x:v>61.82868852459016</x:v>
      </x:c>
      <x:c r="J256" s="45" t="n">
        <x:v>16</x:v>
      </x:c>
      <x:c r="K256" s="45" t="n">
        <x:v>105</x:v>
      </x:c>
      <x:c r="L256" s="51" t="str">
        <x:v>Внутримозговое кровоизлияние в полушарие субкортикальное</x:v>
      </x:c>
      <x:c r="M256" s="45" t="n">
        <x:v>18</x:v>
      </x:c>
      <x:c r="N256" s="33" t="str">
        <x:v>False</x:v>
      </x:c>
      <x:c r="O256" s="45" t="n">
        <x:v>9</x:v>
      </x:c>
    </x:row>
    <x:row r="257">
      <x:c r="A257" s="33" t="str">
        <x:v>IX</x:v>
      </x:c>
      <x:c r="B257" s="33" t="str">
        <x:v>I60-I69</x:v>
      </x:c>
      <x:c r="C257" s="51" t="str">
        <x:v>Цереброваскулярные болезни</x:v>
      </x:c>
      <x:c r="D257" s="33" t="str">
        <x:v>I62</x:v>
      </x:c>
      <x:c r="E257" s="39" t="n">
        <x:v>69</x:v>
      </x:c>
      <x:c r="F257" s="45" t="n">
        <x:v>56</x:v>
      </x:c>
      <x:c r="G257" s="45" t="n">
        <x:v>46</x:v>
      </x:c>
      <x:c r="H257" s="45" t="n">
        <x:v>65</x:v>
      </x:c>
      <x:c r="I257" s="45" t="n">
        <x:v>56.63768115942029</x:v>
      </x:c>
      <x:c r="J257" s="45" t="n">
        <x:v>29</x:v>
      </x:c>
      <x:c r="K257" s="45" t="n">
        <x:v>88</x:v>
      </x:c>
      <x:c r="L257" s="51" t="str">
        <x:v>Нетравматическое субдуральное кровоизлияние</x:v>
      </x:c>
      <x:c r="M257" s="45" t="n">
        <x:v>19</x:v>
      </x:c>
      <x:c r="N257" s="33" t="str">
        <x:v>False</x:v>
      </x:c>
      <x:c r="O257" s="45" t="n">
        <x:v>9</x:v>
      </x:c>
    </x:row>
    <x:row r="258">
      <x:c r="A258" s="33" t="str">
        <x:v>IX</x:v>
      </x:c>
      <x:c r="B258" s="33" t="str">
        <x:v>I60-I69</x:v>
      </x:c>
      <x:c r="C258" s="51" t="str">
        <x:v>Цереброваскулярные болезни</x:v>
      </x:c>
      <x:c r="D258" s="33" t="str">
        <x:v>I63</x:v>
      </x:c>
      <x:c r="E258" s="39" t="n">
        <x:v>2211</x:v>
      </x:c>
      <x:c r="F258" s="45" t="n">
        <x:v>72</x:v>
      </x:c>
      <x:c r="G258" s="45" t="n">
        <x:v>65</x:v>
      </x:c>
      <x:c r="H258" s="45" t="n">
        <x:v>81</x:v>
      </x:c>
      <x:c r="I258" s="45" t="n">
        <x:v>72.18543645409316</x:v>
      </x:c>
      <x:c r="J258" s="45" t="n">
        <x:v>15</x:v>
      </x:c>
      <x:c r="K258" s="45" t="n">
        <x:v>98</x:v>
      </x:c>
      <x:c r="L258" s="51" t="str">
        <x:v>Инфаркт мозга, вызванный тромбозом мозговых артерий</x:v>
      </x:c>
      <x:c r="M258" s="45" t="n">
        <x:v>16</x:v>
      </x:c>
      <x:c r="N258" s="33" t="str">
        <x:v>False</x:v>
      </x:c>
      <x:c r="O258" s="45" t="n">
        <x:v>9</x:v>
      </x:c>
    </x:row>
    <x:row r="259">
      <x:c r="A259" s="33" t="str">
        <x:v>IX</x:v>
      </x:c>
      <x:c r="B259" s="33" t="str">
        <x:v>I60-I69</x:v>
      </x:c>
      <x:c r="C259" s="51" t="str">
        <x:v>Цереброваскулярные болезни</x:v>
      </x:c>
      <x:c r="D259" s="33" t="str">
        <x:v>I64</x:v>
      </x:c>
      <x:c r="E259" s="39" t="n">
        <x:v>6</x:v>
      </x:c>
      <x:c r="F259" s="45" t="n">
        <x:v>72</x:v>
      </x:c>
      <x:c r="G259" s="45" t="n">
        <x:v>65.5</x:v>
      </x:c>
      <x:c r="H259" s="45" t="n">
        <x:v>80.75</x:v>
      </x:c>
      <x:c r="I259" s="45" t="n">
        <x:v>73.66666666666667</x:v>
      </x:c>
      <x:c r="J259" s="45" t="n">
        <x:v>64</x:v>
      </x:c>
      <x:c r="K259" s="45" t="n">
        <x:v>87</x:v>
      </x:c>
      <x:c r="L259" s="51" t="str">
        <x:v>Инсульт неуточненный как геморрагический или ишемический</x:v>
      </x:c>
      <x:c r="M259" s="45" t="n">
        <x:v>15.25</x:v>
      </x:c>
      <x:c r="N259" s="33" t="str">
        <x:v>False</x:v>
      </x:c>
      <x:c r="O259" s="45" t="n">
        <x:v>9</x:v>
      </x:c>
    </x:row>
    <x:row r="260">
      <x:c r="A260" s="33" t="str">
        <x:v>IX</x:v>
      </x:c>
      <x:c r="B260" s="33" t="str">
        <x:v>I60-I69</x:v>
      </x:c>
      <x:c r="C260" s="51" t="str">
        <x:v>Цереброваскулярные болезни</x:v>
      </x:c>
      <x:c r="D260" s="33" t="str">
        <x:v>I66</x:v>
      </x:c>
      <x:c r="E260" s="39" t="n">
        <x:v>3</x:v>
      </x:c>
      <x:c r="F260" s="45" t="n">
        <x:v>64</x:v>
      </x:c>
      <x:c r="G260" s="45" t="n">
        <x:v>63</x:v>
      </x:c>
      <x:c r="H260" s="45" t="n">
        <x:v>70.5</x:v>
      </x:c>
      <x:c r="I260" s="45" t="n">
        <x:v>67.66666666666667</x:v>
      </x:c>
      <x:c r="J260" s="45" t="n">
        <x:v>62</x:v>
      </x:c>
      <x:c r="K260" s="45" t="n">
        <x:v>77</x:v>
      </x:c>
      <x:c r="L260" s="51" t="str">
        <x:v>Закупорка мозговой артерии средней</x:v>
      </x:c>
      <x:c r="M260" s="45" t="n">
        <x:v>7.5</x:v>
      </x:c>
      <x:c r="N260" s="33" t="str">
        <x:v>True</x:v>
      </x:c>
      <x:c r="O260" s="45" t="n">
        <x:v>9</x:v>
      </x:c>
    </x:row>
    <x:row r="261">
      <x:c r="A261" s="33" t="str">
        <x:v>IX</x:v>
      </x:c>
      <x:c r="B261" s="33" t="str">
        <x:v>I60-I69</x:v>
      </x:c>
      <x:c r="C261" s="51" t="str">
        <x:v>Цереброваскулярные болезни</x:v>
      </x:c>
      <x:c r="D261" s="33" t="str">
        <x:v>I67</x:v>
      </x:c>
      <x:c r="E261" s="39" t="n">
        <x:v>828</x:v>
      </x:c>
      <x:c r="F261" s="45" t="n">
        <x:v>81.5</x:v>
      </x:c>
      <x:c r="G261" s="45" t="n">
        <x:v>73</x:v>
      </x:c>
      <x:c r="H261" s="45" t="n">
        <x:v>87</x:v>
      </x:c>
      <x:c r="I261" s="45" t="n">
        <x:v>79.61111111111111</x:v>
      </x:c>
      <x:c r="J261" s="45" t="n">
        <x:v>24</x:v>
      </x:c>
      <x:c r="K261" s="45" t="n">
        <x:v>102</x:v>
      </x:c>
      <x:c r="L261" s="51" t="str">
        <x:v>Другие уточненные поражения сосудов мозга</x:v>
      </x:c>
      <x:c r="M261" s="45" t="n">
        <x:v>14</x:v>
      </x:c>
      <x:c r="N261" s="33" t="str">
        <x:v>False</x:v>
      </x:c>
      <x:c r="O261" s="45" t="n">
        <x:v>9</x:v>
      </x:c>
    </x:row>
    <x:row r="262">
      <x:c r="A262" s="33" t="str">
        <x:v>IX</x:v>
      </x:c>
      <x:c r="B262" s="33" t="str">
        <x:v>I60-I69</x:v>
      </x:c>
      <x:c r="C262" s="51" t="str">
        <x:v>Цереброваскулярные болезни</x:v>
      </x:c>
      <x:c r="D262" s="33" t="str">
        <x:v>I69</x:v>
      </x:c>
      <x:c r="E262" s="39" t="n">
        <x:v>1446</x:v>
      </x:c>
      <x:c r="F262" s="45" t="n">
        <x:v>74</x:v>
      </x:c>
      <x:c r="G262" s="45" t="n">
        <x:v>67</x:v>
      </x:c>
      <x:c r="H262" s="45" t="n">
        <x:v>82</x:v>
      </x:c>
      <x:c r="I262" s="45" t="n">
        <x:v>73.4460580912863</x:v>
      </x:c>
      <x:c r="J262" s="45" t="n">
        <x:v>24</x:v>
      </x:c>
      <x:c r="K262" s="45" t="n">
        <x:v>100</x:v>
      </x:c>
      <x:c r="L262" s="51" t="str">
        <x:v>Последствия инфаркта мозга</x:v>
      </x:c>
      <x:c r="M262" s="45" t="n">
        <x:v>15</x:v>
      </x:c>
      <x:c r="N262" s="33" t="str">
        <x:v>False</x:v>
      </x:c>
      <x:c r="O262" s="45" t="n">
        <x:v>9</x:v>
      </x:c>
    </x:row>
    <x:row r="263">
      <x:c r="A263" s="33" t="str">
        <x:v>IX</x:v>
      </x:c>
      <x:c r="B263" s="33" t="str">
        <x:v>I70-I79</x:v>
      </x:c>
      <x:c r="C263" s="51" t="str">
        <x:v>Болезни артерий, артериол и капилляров</x:v>
      </x:c>
      <x:c r="D263" s="33" t="str">
        <x:v>I70</x:v>
      </x:c>
      <x:c r="E263" s="39" t="n">
        <x:v>582</x:v>
      </x:c>
      <x:c r="F263" s="45" t="n">
        <x:v>74</x:v>
      </x:c>
      <x:c r="G263" s="45" t="n">
        <x:v>67</x:v>
      </x:c>
      <x:c r="H263" s="45" t="n">
        <x:v>83</x:v>
      </x:c>
      <x:c r="I263" s="45" t="n">
        <x:v>74.83848797250859</x:v>
      </x:c>
      <x:c r="J263" s="45" t="n">
        <x:v>43</x:v>
      </x:c>
      <x:c r="K263" s="45" t="n">
        <x:v>100</x:v>
      </x:c>
      <x:c r="L263" s="51" t="str">
        <x:v>Атеросклероз артерий конечностей</x:v>
      </x:c>
      <x:c r="M263" s="45" t="n">
        <x:v>16</x:v>
      </x:c>
      <x:c r="N263" s="33" t="str">
        <x:v>False</x:v>
      </x:c>
      <x:c r="O263" s="45" t="n">
        <x:v>9</x:v>
      </x:c>
    </x:row>
    <x:row r="264">
      <x:c r="A264" s="33" t="str">
        <x:v>IX</x:v>
      </x:c>
      <x:c r="B264" s="33" t="str">
        <x:v>I70-I79</x:v>
      </x:c>
      <x:c r="C264" s="51" t="str">
        <x:v>Болезни артерий, артериол и капилляров</x:v>
      </x:c>
      <x:c r="D264" s="33" t="str">
        <x:v>I71</x:v>
      </x:c>
      <x:c r="E264" s="39" t="n">
        <x:v>377</x:v>
      </x:c>
      <x:c r="F264" s="45" t="n">
        <x:v>70</x:v>
      </x:c>
      <x:c r="G264" s="45" t="n">
        <x:v>62</x:v>
      </x:c>
      <x:c r="H264" s="45" t="n">
        <x:v>79</x:v>
      </x:c>
      <x:c r="I264" s="45" t="n">
        <x:v>69.63129973474801</x:v>
      </x:c>
      <x:c r="J264" s="45" t="n">
        <x:v>27</x:v>
      </x:c>
      <x:c r="K264" s="45" t="n">
        <x:v>95</x:v>
      </x:c>
      <x:c r="L264" s="51" t="str">
        <x:v>Аневризма грудной части аорты разорванная</x:v>
      </x:c>
      <x:c r="M264" s="45" t="n">
        <x:v>17</x:v>
      </x:c>
      <x:c r="N264" s="33" t="str">
        <x:v>False</x:v>
      </x:c>
      <x:c r="O264" s="45" t="n">
        <x:v>9</x:v>
      </x:c>
    </x:row>
    <x:row r="265">
      <x:c r="A265" s="33" t="str">
        <x:v>IX</x:v>
      </x:c>
      <x:c r="B265" s="33" t="str">
        <x:v>I70-I79</x:v>
      </x:c>
      <x:c r="C265" s="51" t="str">
        <x:v>Болезни артерий, артериол и капилляров</x:v>
      </x:c>
      <x:c r="D265" s="33" t="str">
        <x:v>I72</x:v>
      </x:c>
      <x:c r="E265" s="39" t="n">
        <x:v>21</x:v>
      </x:c>
      <x:c r="F265" s="45" t="n">
        <x:v>68</x:v>
      </x:c>
      <x:c r="G265" s="45" t="n">
        <x:v>60</x:v>
      </x:c>
      <x:c r="H265" s="45" t="n">
        <x:v>75</x:v>
      </x:c>
      <x:c r="I265" s="45" t="n">
        <x:v>67</x:v>
      </x:c>
      <x:c r="J265" s="45" t="n">
        <x:v>38</x:v>
      </x:c>
      <x:c r="K265" s="45" t="n">
        <x:v>93</x:v>
      </x:c>
      <x:c r="L265" s="51" t="str">
        <x:v>Аневризма и расслоение подвздошной артерии</x:v>
      </x:c>
      <x:c r="M265" s="45" t="n">
        <x:v>15</x:v>
      </x:c>
      <x:c r="N265" s="33" t="str">
        <x:v>False</x:v>
      </x:c>
      <x:c r="O265" s="45" t="n">
        <x:v>9</x:v>
      </x:c>
    </x:row>
    <x:row r="266">
      <x:c r="A266" s="33" t="str">
        <x:v>IX</x:v>
      </x:c>
      <x:c r="B266" s="33" t="str">
        <x:v>I70-I79</x:v>
      </x:c>
      <x:c r="C266" s="51" t="str">
        <x:v>Болезни артерий, артериол и капилляров</x:v>
      </x:c>
      <x:c r="D266" s="33" t="str">
        <x:v>I73</x:v>
      </x:c>
      <x:c r="E266" s="39" t="n">
        <x:v>6</x:v>
      </x:c>
      <x:c r="F266" s="45" t="n">
        <x:v>51.5</x:v>
      </x:c>
      <x:c r="G266" s="45" t="n">
        <x:v>49</x:v>
      </x:c>
      <x:c r="H266" s="45" t="n">
        <x:v>66</x:v>
      </x:c>
      <x:c r="I266" s="45" t="n">
        <x:v>57.5</x:v>
      </x:c>
      <x:c r="J266" s="45" t="n">
        <x:v>46</x:v>
      </x:c>
      <x:c r="K266" s="45" t="n">
        <x:v>77</x:v>
      </x:c>
      <x:c r="L266" s="51" t="str">
        <x:v>Облитерирующий тромбангиит [болезнь Бюргера]</x:v>
      </x:c>
      <x:c r="M266" s="45" t="n">
        <x:v>17</x:v>
      </x:c>
      <x:c r="N266" s="33" t="str">
        <x:v>False</x:v>
      </x:c>
      <x:c r="O266" s="45" t="n">
        <x:v>9</x:v>
      </x:c>
    </x:row>
    <x:row r="267">
      <x:c r="A267" s="33" t="str">
        <x:v>IX</x:v>
      </x:c>
      <x:c r="B267" s="33" t="str">
        <x:v>I70-I79</x:v>
      </x:c>
      <x:c r="C267" s="51" t="str">
        <x:v>Болезни артерий, артериол и капилляров</x:v>
      </x:c>
      <x:c r="D267" s="33" t="str">
        <x:v>I74</x:v>
      </x:c>
      <x:c r="E267" s="39" t="n">
        <x:v>57</x:v>
      </x:c>
      <x:c r="F267" s="45" t="n">
        <x:v>73</x:v>
      </x:c>
      <x:c r="G267" s="45" t="n">
        <x:v>66</x:v>
      </x:c>
      <x:c r="H267" s="45" t="n">
        <x:v>82</x:v>
      </x:c>
      <x:c r="I267" s="45" t="n">
        <x:v>72.96491228070175</x:v>
      </x:c>
      <x:c r="J267" s="45" t="n">
        <x:v>38</x:v>
      </x:c>
      <x:c r="K267" s="45" t="n">
        <x:v>97</x:v>
      </x:c>
      <x:c r="L267" s="51" t="str">
        <x:v>Эмболия и тромбоз артерий нижних конечностей</x:v>
      </x:c>
      <x:c r="M267" s="45" t="n">
        <x:v>16</x:v>
      </x:c>
      <x:c r="N267" s="33" t="str">
        <x:v>False</x:v>
      </x:c>
      <x:c r="O267" s="45" t="n">
        <x:v>9</x:v>
      </x:c>
    </x:row>
    <x:row r="268">
      <x:c r="A268" s="33" t="str">
        <x:v>IX</x:v>
      </x:c>
      <x:c r="B268" s="33" t="str">
        <x:v>I70-I79</x:v>
      </x:c>
      <x:c r="C268" s="51" t="str">
        <x:v>Болезни артерий, артериол и капилляров</x:v>
      </x:c>
      <x:c r="D268" s="33" t="str">
        <x:v>I77</x:v>
      </x:c>
      <x:c r="E268" s="39" t="n">
        <x:v>1</x:v>
      </x:c>
      <x:c r="F268" s="45" t="n">
        <x:v>71</x:v>
      </x:c>
      <x:c r="G268" s="45" t="n">
        <x:v>71</x:v>
      </x:c>
      <x:c r="H268" s="45" t="n">
        <x:v>71</x:v>
      </x:c>
      <x:c r="I268" s="45" t="n">
        <x:v>71</x:v>
      </x:c>
      <x:c r="J268" s="45" t="n">
        <x:v>71</x:v>
      </x:c>
      <x:c r="K268" s="45" t="n">
        <x:v>71</x:v>
      </x:c>
      <x:c r="L268" s="51" t="str">
        <x:v>Другие болезни артерий</x:v>
      </x:c>
      <x:c r="M268" s="45" t="n">
        <x:v>0</x:v>
      </x:c>
      <x:c r="N268" s="33" t="str">
        <x:v>True</x:v>
      </x:c>
      <x:c r="O268" s="45" t="n">
        <x:v>9</x:v>
      </x:c>
    </x:row>
    <x:row r="269">
      <x:c r="A269" s="33" t="str">
        <x:v>IX</x:v>
      </x:c>
      <x:c r="B269" s="33" t="str">
        <x:v>I80-I89</x:v>
      </x:c>
      <x:c r="C269" s="51" t="str">
        <x:v>Болезни вен, лимфатических сосудов и лимфатических узлов, не классифицированные в других рубриках</x:v>
      </x:c>
      <x:c r="D269" s="33" t="str">
        <x:v>I80</x:v>
      </x:c>
      <x:c r="E269" s="39" t="n">
        <x:v>975</x:v>
      </x:c>
      <x:c r="F269" s="45" t="n">
        <x:v>70</x:v>
      </x:c>
      <x:c r="G269" s="45" t="n">
        <x:v>62</x:v>
      </x:c>
      <x:c r="H269" s="45" t="n">
        <x:v>80</x:v>
      </x:c>
      <x:c r="I269" s="45" t="n">
        <x:v>70.18461538461538</x:v>
      </x:c>
      <x:c r="J269" s="45" t="n">
        <x:v>19</x:v>
      </x:c>
      <x:c r="K269" s="45" t="n">
        <x:v>97</x:v>
      </x:c>
      <x:c r="L269" s="51" t="str">
        <x:v>Флебит и тромбофлебит других глубоких сосудов нижних конечностей</x:v>
      </x:c>
      <x:c r="M269" s="45" t="n">
        <x:v>18</x:v>
      </x:c>
      <x:c r="N269" s="33" t="str">
        <x:v>False</x:v>
      </x:c>
      <x:c r="O269" s="45" t="n">
        <x:v>9</x:v>
      </x:c>
    </x:row>
    <x:row r="270">
      <x:c r="A270" s="33" t="str">
        <x:v>IX</x:v>
      </x:c>
      <x:c r="B270" s="33" t="str">
        <x:v>I80-I89</x:v>
      </x:c>
      <x:c r="C270" s="51" t="str">
        <x:v>Болезни вен, лимфатических сосудов и лимфатических узлов, не классифицированные в других рубриках</x:v>
      </x:c>
      <x:c r="D270" s="33" t="str">
        <x:v>I82</x:v>
      </x:c>
      <x:c r="E270" s="39" t="n">
        <x:v>41</x:v>
      </x:c>
      <x:c r="F270" s="45" t="n">
        <x:v>71</x:v>
      </x:c>
      <x:c r="G270" s="45" t="n">
        <x:v>66</x:v>
      </x:c>
      <x:c r="H270" s="45" t="n">
        <x:v>81</x:v>
      </x:c>
      <x:c r="I270" s="45" t="n">
        <x:v>71.14634146341463</x:v>
      </x:c>
      <x:c r="J270" s="45" t="n">
        <x:v>30</x:v>
      </x:c>
      <x:c r="K270" s="45" t="n">
        <x:v>93</x:v>
      </x:c>
      <x:c r="L270" s="51" t="str">
        <x:v>Эмболия и тромбоз других уточненных вен</x:v>
      </x:c>
      <x:c r="M270" s="45" t="n">
        <x:v>15</x:v>
      </x:c>
      <x:c r="N270" s="33" t="str">
        <x:v>False</x:v>
      </x:c>
      <x:c r="O270" s="45" t="n">
        <x:v>9</x:v>
      </x:c>
    </x:row>
    <x:row r="271">
      <x:c r="A271" s="33" t="str">
        <x:v>IX</x:v>
      </x:c>
      <x:c r="B271" s="33" t="str">
        <x:v>I80-I89</x:v>
      </x:c>
      <x:c r="C271" s="51" t="str">
        <x:v>Болезни вен, лимфатических сосудов и лимфатических узлов, не классифицированные в других рубриках</x:v>
      </x:c>
      <x:c r="D271" s="33" t="str">
        <x:v>I83</x:v>
      </x:c>
      <x:c r="E271" s="39" t="n">
        <x:v>19</x:v>
      </x:c>
      <x:c r="F271" s="45" t="n">
        <x:v>62</x:v>
      </x:c>
      <x:c r="G271" s="45" t="n">
        <x:v>58</x:v>
      </x:c>
      <x:c r="H271" s="45" t="n">
        <x:v>70</x:v>
      </x:c>
      <x:c r="I271" s="45" t="n">
        <x:v>63.578947368421055</x:v>
      </x:c>
      <x:c r="J271" s="45" t="n">
        <x:v>51</x:v>
      </x:c>
      <x:c r="K271" s="45" t="n">
        <x:v>80</x:v>
      </x:c>
      <x:c r="L271" s="51" t="str">
        <x:v>Варикозное расширение вен нижних конечностей без язвы или воспаления</x:v>
      </x:c>
      <x:c r="M271" s="45" t="n">
        <x:v>12</x:v>
      </x:c>
      <x:c r="N271" s="33" t="str">
        <x:v>False</x:v>
      </x:c>
      <x:c r="O271" s="45" t="n">
        <x:v>9</x:v>
      </x:c>
    </x:row>
    <x:row r="272">
      <x:c r="A272" s="33" t="str">
        <x:v>IX</x:v>
      </x:c>
      <x:c r="B272" s="33" t="str">
        <x:v>I80-I89</x:v>
      </x:c>
      <x:c r="C272" s="51" t="str">
        <x:v>Болезни вен, лимфатических сосудов и лимфатических узлов, не классифицированные в других рубриках</x:v>
      </x:c>
      <x:c r="D272" s="33" t="str">
        <x:v>I85</x:v>
      </x:c>
      <x:c r="E272" s="39" t="n">
        <x:v>2</x:v>
      </x:c>
      <x:c r="F272" s="45" t="n">
        <x:v>51</x:v>
      </x:c>
      <x:c r="G272" s="45" t="n">
        <x:v>42.5</x:v>
      </x:c>
      <x:c r="H272" s="45" t="n">
        <x:v>59.5</x:v>
      </x:c>
      <x:c r="I272" s="45" t="n">
        <x:v>51</x:v>
      </x:c>
      <x:c r="J272" s="45" t="n">
        <x:v>34</x:v>
      </x:c>
      <x:c r="K272" s="45" t="n">
        <x:v>68</x:v>
      </x:c>
      <x:c r="L272" s="51" t="str">
        <x:v>Варикозное расширение вен пищевода с кровотечением</x:v>
      </x:c>
      <x:c r="M272" s="45" t="n">
        <x:v>17</x:v>
      </x:c>
      <x:c r="N272" s="33" t="str">
        <x:v>True</x:v>
      </x:c>
      <x:c r="O272" s="45" t="n">
        <x:v>9</x:v>
      </x:c>
    </x:row>
    <x:row r="273">
      <x:c r="A273" s="33" t="str">
        <x:v>IX</x:v>
      </x:c>
      <x:c r="B273" s="33" t="str">
        <x:v>I80-I89</x:v>
      </x:c>
      <x:c r="C273" s="51" t="str">
        <x:v>Болезни вен, лимфатических сосудов и лимфатических узлов, не классифицированные в других рубриках</x:v>
      </x:c>
      <x:c r="D273" s="33" t="str">
        <x:v>I87</x:v>
      </x:c>
      <x:c r="E273" s="39" t="n">
        <x:v>4</x:v>
      </x:c>
      <x:c r="F273" s="45" t="n">
        <x:v>65</x:v>
      </x:c>
      <x:c r="G273" s="45" t="n">
        <x:v>53.75</x:v>
      </x:c>
      <x:c r="H273" s="45" t="n">
        <x:v>76.5</x:v>
      </x:c>
      <x:c r="I273" s="45" t="n">
        <x:v>65.25</x:v>
      </x:c>
      <x:c r="J273" s="45" t="n">
        <x:v>44</x:v>
      </x:c>
      <x:c r="K273" s="45" t="n">
        <x:v>87</x:v>
      </x:c>
      <x:c r="L273" s="51" t="str">
        <x:v>Посттромботический синдром</x:v>
      </x:c>
      <x:c r="M273" s="45" t="n">
        <x:v>22.75</x:v>
      </x:c>
      <x:c r="N273" s="33" t="str">
        <x:v>True</x:v>
      </x:c>
      <x:c r="O273" s="45" t="n">
        <x:v>9</x:v>
      </x:c>
    </x:row>
    <x:row r="274">
      <x:c r="A274" s="33" t="str">
        <x:v>IX</x:v>
      </x:c>
      <x:c r="B274" s="33" t="str">
        <x:v>I80-I89</x:v>
      </x:c>
      <x:c r="C274" s="51" t="str">
        <x:v>Болезни вен, лимфатических сосудов и лимфатических узлов, не классифицированные в других рубриках</x:v>
      </x:c>
      <x:c r="D274" s="33" t="str">
        <x:v>I89</x:v>
      </x:c>
      <x:c r="E274" s="39" t="n">
        <x:v>2</x:v>
      </x:c>
      <x:c r="F274" s="45" t="n">
        <x:v>61.5</x:v>
      </x:c>
      <x:c r="G274" s="45" t="n">
        <x:v>57.75</x:v>
      </x:c>
      <x:c r="H274" s="45" t="n">
        <x:v>65.25</x:v>
      </x:c>
      <x:c r="I274" s="45" t="n">
        <x:v>61.5</x:v>
      </x:c>
      <x:c r="J274" s="45" t="n">
        <x:v>54</x:v>
      </x:c>
      <x:c r="K274" s="45" t="n">
        <x:v>69</x:v>
      </x:c>
      <x:c r="L274" s="51" t="str">
        <x:v>Другие болезни лимфатических узлов</x:v>
      </x:c>
      <x:c r="M274" s="45" t="n">
        <x:v>7.5</x:v>
      </x:c>
      <x:c r="N274" s="33" t="str">
        <x:v>True</x:v>
      </x:c>
      <x:c r="O274" s="45" t="n">
        <x:v>9</x:v>
      </x:c>
    </x:row>
    <x:row r="275">
      <x:c r="A275" s="33" t="str">
        <x:v>X</x:v>
      </x:c>
      <x:c r="B275" s="33" t="str">
        <x:v>J00-J06</x:v>
      </x:c>
      <x:c r="C275" s="51" t="str">
        <x:v>Острые респираторные инфекции верхних дыхательных путей</x:v>
      </x:c>
      <x:c r="D275" s="33" t="str">
        <x:v>J01</x:v>
      </x:c>
      <x:c r="E275" s="39" t="n">
        <x:v>3</x:v>
      </x:c>
      <x:c r="F275" s="45" t="n">
        <x:v>68</x:v>
      </x:c>
      <x:c r="G275" s="45" t="n">
        <x:v>56.5</x:v>
      </x:c>
      <x:c r="H275" s="45" t="n">
        <x:v>73</x:v>
      </x:c>
      <x:c r="I275" s="45" t="n">
        <x:v>63.666666666666664</x:v>
      </x:c>
      <x:c r="J275" s="45" t="n">
        <x:v>45</x:v>
      </x:c>
      <x:c r="K275" s="45" t="n">
        <x:v>78</x:v>
      </x:c>
      <x:c r="L275" s="51" t="str">
        <x:v>Острый верхнечелюстной синусит</x:v>
      </x:c>
      <x:c r="M275" s="45" t="n">
        <x:v>16.5</x:v>
      </x:c>
      <x:c r="N275" s="33" t="str">
        <x:v>True</x:v>
      </x:c>
      <x:c r="O275" s="45" t="n">
        <x:v>10</x:v>
      </x:c>
    </x:row>
    <x:row r="276">
      <x:c r="A276" s="33" t="str">
        <x:v>X</x:v>
      </x:c>
      <x:c r="B276" s="33" t="str">
        <x:v>J00-J06</x:v>
      </x:c>
      <x:c r="C276" s="51" t="str">
        <x:v>Острые респираторные инфекции верхних дыхательных путей</x:v>
      </x:c>
      <x:c r="D276" s="33" t="str">
        <x:v>J03</x:v>
      </x:c>
      <x:c r="E276" s="39" t="n">
        <x:v>1</x:v>
      </x:c>
      <x:c r="F276" s="45" t="n">
        <x:v>53</x:v>
      </x:c>
      <x:c r="G276" s="45" t="n">
        <x:v>53</x:v>
      </x:c>
      <x:c r="H276" s="45" t="n">
        <x:v>53</x:v>
      </x:c>
      <x:c r="I276" s="45" t="n">
        <x:v>53</x:v>
      </x:c>
      <x:c r="J276" s="45" t="n">
        <x:v>53</x:v>
      </x:c>
      <x:c r="K276" s="45" t="n">
        <x:v>53</x:v>
      </x:c>
      <x:c r="L276" s="51" t="str">
        <x:v>Острый тонзиллит неуточненный</x:v>
      </x:c>
      <x:c r="M276" s="45" t="n">
        <x:v>0</x:v>
      </x:c>
      <x:c r="N276" s="33" t="str">
        <x:v>True</x:v>
      </x:c>
      <x:c r="O276" s="45" t="n">
        <x:v>10</x:v>
      </x:c>
    </x:row>
    <x:row r="277">
      <x:c r="A277" s="33" t="str">
        <x:v>X</x:v>
      </x:c>
      <x:c r="B277" s="33" t="str">
        <x:v>J00-J06</x:v>
      </x:c>
      <x:c r="C277" s="51" t="str">
        <x:v>Острые респираторные инфекции верхних дыхательных путей</x:v>
      </x:c>
      <x:c r="D277" s="33" t="str">
        <x:v>J05</x:v>
      </x:c>
      <x:c r="E277" s="39" t="n">
        <x:v>1</x:v>
      </x:c>
      <x:c r="F277" s="45" t="n">
        <x:v>59</x:v>
      </x:c>
      <x:c r="G277" s="45" t="n">
        <x:v>59</x:v>
      </x:c>
      <x:c r="H277" s="45" t="n">
        <x:v>59</x:v>
      </x:c>
      <x:c r="I277" s="45" t="n">
        <x:v>59</x:v>
      </x:c>
      <x:c r="J277" s="45" t="n">
        <x:v>59</x:v>
      </x:c>
      <x:c r="K277" s="45" t="n">
        <x:v>59</x:v>
      </x:c>
      <x:c r="L277" s="51" t="str">
        <x:v>Острый эпиглоттит</x:v>
      </x:c>
      <x:c r="M277" s="45" t="n">
        <x:v>0</x:v>
      </x:c>
      <x:c r="N277" s="33" t="str">
        <x:v>True</x:v>
      </x:c>
      <x:c r="O277" s="45" t="n">
        <x:v>10</x:v>
      </x:c>
    </x:row>
    <x:row r="278">
      <x:c r="A278" s="33" t="str">
        <x:v>X</x:v>
      </x:c>
      <x:c r="B278" s="33" t="str">
        <x:v>J09-J18</x:v>
      </x:c>
      <x:c r="C278" s="51" t="str">
        <x:v>Грипп и пневмония</x:v>
      </x:c>
      <x:c r="D278" s="33" t="str">
        <x:v>J09</x:v>
      </x:c>
      <x:c r="E278" s="39" t="n">
        <x:v>7</x:v>
      </x:c>
      <x:c r="F278" s="45" t="n">
        <x:v>50</x:v>
      </x:c>
      <x:c r="G278" s="45" t="n">
        <x:v>45</x:v>
      </x:c>
      <x:c r="H278" s="45" t="n">
        <x:v>57.5</x:v>
      </x:c>
      <x:c r="I278" s="45" t="n">
        <x:v>52.57142857142857</x:v>
      </x:c>
      <x:c r="J278" s="45" t="n">
        <x:v>42</x:v>
      </x:c>
      <x:c r="K278" s="45" t="n">
        <x:v>71</x:v>
      </x:c>
      <x:c r="L278" s="51" t="str">
        <x:v>Грипп вызванный идентифицированным вирусом птичьего гриппа</x:v>
      </x:c>
      <x:c r="M278" s="45" t="n">
        <x:v>12.5</x:v>
      </x:c>
      <x:c r="N278" s="33" t="str">
        <x:v>False</x:v>
      </x:c>
      <x:c r="O278" s="45" t="n">
        <x:v>10</x:v>
      </x:c>
    </x:row>
    <x:row r="279">
      <x:c r="A279" s="33" t="str">
        <x:v>X</x:v>
      </x:c>
      <x:c r="B279" s="33" t="str">
        <x:v>J09-J18</x:v>
      </x:c>
      <x:c r="C279" s="51" t="str">
        <x:v>Грипп и пневмония</x:v>
      </x:c>
      <x:c r="D279" s="33" t="str">
        <x:v>J10</x:v>
      </x:c>
      <x:c r="E279" s="39" t="n">
        <x:v>5</x:v>
      </x:c>
      <x:c r="F279" s="45" t="n">
        <x:v>46</x:v>
      </x:c>
      <x:c r="G279" s="45" t="n">
        <x:v>45</x:v>
      </x:c>
      <x:c r="H279" s="45" t="n">
        <x:v>56</x:v>
      </x:c>
      <x:c r="I279" s="45" t="n">
        <x:v>42.6</x:v>
      </x:c>
      <x:c r="J279" s="45" t="n">
        <x:v>3</x:v>
      </x:c>
      <x:c r="K279" s="45" t="n">
        <x:v>63</x:v>
      </x:c>
      <x:c r="L279" s="51" t="str">
        <x:v>Грипп с пневмонией, сезонный вирус гриппа идентифицирован</x:v>
      </x:c>
      <x:c r="M279" s="45" t="n">
        <x:v>11</x:v>
      </x:c>
      <x:c r="N279" s="33" t="str">
        <x:v>False</x:v>
      </x:c>
      <x:c r="O279" s="45" t="n">
        <x:v>10</x:v>
      </x:c>
    </x:row>
    <x:row r="280">
      <x:c r="A280" s="33" t="str">
        <x:v>X</x:v>
      </x:c>
      <x:c r="B280" s="33" t="str">
        <x:v>J09-J18</x:v>
      </x:c>
      <x:c r="C280" s="51" t="str">
        <x:v>Грипп и пневмония</x:v>
      </x:c>
      <x:c r="D280" s="33" t="str">
        <x:v>J11</x:v>
      </x:c>
      <x:c r="E280" s="39" t="n">
        <x:v>1</x:v>
      </x:c>
      <x:c r="F280" s="45" t="n">
        <x:v>71</x:v>
      </x:c>
      <x:c r="G280" s="45" t="n">
        <x:v>71</x:v>
      </x:c>
      <x:c r="H280" s="45" t="n">
        <x:v>71</x:v>
      </x:c>
      <x:c r="I280" s="45" t="n">
        <x:v>71</x:v>
      </x:c>
      <x:c r="J280" s="45" t="n">
        <x:v>71</x:v>
      </x:c>
      <x:c r="K280" s="45" t="n">
        <x:v>71</x:v>
      </x:c>
      <x:c r="L280" s="51" t="str">
        <x:v>Грипп с неуточненным вирусом</x:v>
      </x:c>
      <x:c r="M280" s="45" t="n">
        <x:v>0</x:v>
      </x:c>
      <x:c r="N280" s="33" t="str">
        <x:v>True</x:v>
      </x:c>
      <x:c r="O280" s="45" t="n">
        <x:v>10</x:v>
      </x:c>
    </x:row>
    <x:row r="281">
      <x:c r="A281" s="33" t="str">
        <x:v>X</x:v>
      </x:c>
      <x:c r="B281" s="33" t="str">
        <x:v>J09-J18</x:v>
      </x:c>
      <x:c r="C281" s="51" t="str">
        <x:v>Грипп и пневмония</x:v>
      </x:c>
      <x:c r="D281" s="33" t="str">
        <x:v>J12</x:v>
      </x:c>
      <x:c r="E281" s="39" t="n">
        <x:v>118</x:v>
      </x:c>
      <x:c r="F281" s="45" t="n">
        <x:v>71</x:v>
      </x:c>
      <x:c r="G281" s="45" t="n">
        <x:v>65</x:v>
      </x:c>
      <x:c r="H281" s="45" t="n">
        <x:v>78</x:v>
      </x:c>
      <x:c r="I281" s="45" t="n">
        <x:v>70.29661016949153</x:v>
      </x:c>
      <x:c r="J281" s="45" t="n">
        <x:v>0</x:v>
      </x:c>
      <x:c r="K281" s="45" t="n">
        <x:v>94</x:v>
      </x:c>
      <x:c r="L281" s="51" t="str">
        <x:v>Другая вирусная пневмония</x:v>
      </x:c>
      <x:c r="M281" s="45" t="n">
        <x:v>13</x:v>
      </x:c>
      <x:c r="N281" s="33" t="str">
        <x:v>False</x:v>
      </x:c>
      <x:c r="O281" s="45" t="n">
        <x:v>10</x:v>
      </x:c>
    </x:row>
    <x:row r="282">
      <x:c r="A282" s="33" t="str">
        <x:v>X</x:v>
      </x:c>
      <x:c r="B282" s="33" t="str">
        <x:v>J09-J18</x:v>
      </x:c>
      <x:c r="C282" s="51" t="str">
        <x:v>Грипп и пневмония</x:v>
      </x:c>
      <x:c r="D282" s="33" t="str">
        <x:v>J13</x:v>
      </x:c>
      <x:c r="E282" s="39" t="n">
        <x:v>1</x:v>
      </x:c>
      <x:c r="F282" s="45" t="n">
        <x:v>84</x:v>
      </x:c>
      <x:c r="G282" s="45" t="n">
        <x:v>84</x:v>
      </x:c>
      <x:c r="H282" s="45" t="n">
        <x:v>84</x:v>
      </x:c>
      <x:c r="I282" s="45" t="n">
        <x:v>84</x:v>
      </x:c>
      <x:c r="J282" s="45" t="n">
        <x:v>84</x:v>
      </x:c>
      <x:c r="K282" s="45" t="n">
        <x:v>84</x:v>
      </x:c>
      <x:c r="L282" s="51" t="str">
        <x:v>Пневмония, вызванная Streptococcus pneumoniae</x:v>
      </x:c>
      <x:c r="M282" s="45" t="n">
        <x:v>0</x:v>
      </x:c>
      <x:c r="N282" s="33" t="str">
        <x:v>True</x:v>
      </x:c>
      <x:c r="O282" s="45" t="n">
        <x:v>10</x:v>
      </x:c>
    </x:row>
    <x:row r="283">
      <x:c r="A283" s="33" t="str">
        <x:v>X</x:v>
      </x:c>
      <x:c r="B283" s="33" t="str">
        <x:v>J09-J18</x:v>
      </x:c>
      <x:c r="C283" s="51" t="str">
        <x:v>Грипп и пневмония</x:v>
      </x:c>
      <x:c r="D283" s="33" t="str">
        <x:v>J15</x:v>
      </x:c>
      <x:c r="E283" s="39" t="n">
        <x:v>168</x:v>
      </x:c>
      <x:c r="F283" s="45" t="n">
        <x:v>69</x:v>
      </x:c>
      <x:c r="G283" s="45" t="n">
        <x:v>56</x:v>
      </x:c>
      <x:c r="H283" s="45" t="n">
        <x:v>77</x:v>
      </x:c>
      <x:c r="I283" s="45" t="n">
        <x:v>65.04166666666667</x:v>
      </x:c>
      <x:c r="J283" s="45" t="n">
        <x:v>0</x:v>
      </x:c>
      <x:c r="K283" s="45" t="n">
        <x:v>93</x:v>
      </x:c>
      <x:c r="L283" s="51" t="str">
        <x:v>Другие бактериальные пневмонии</x:v>
      </x:c>
      <x:c r="M283" s="45" t="n">
        <x:v>21</x:v>
      </x:c>
      <x:c r="N283" s="33" t="str">
        <x:v>False</x:v>
      </x:c>
      <x:c r="O283" s="45" t="n">
        <x:v>10</x:v>
      </x:c>
    </x:row>
    <x:row r="284">
      <x:c r="A284" s="33" t="str">
        <x:v>X</x:v>
      </x:c>
      <x:c r="B284" s="33" t="str">
        <x:v>J09-J18</x:v>
      </x:c>
      <x:c r="C284" s="51" t="str">
        <x:v>Грипп и пневмония</x:v>
      </x:c>
      <x:c r="D284" s="33" t="str">
        <x:v>J16</x:v>
      </x:c>
      <x:c r="E284" s="39" t="n">
        <x:v>19</x:v>
      </x:c>
      <x:c r="F284" s="45" t="n">
        <x:v>66</x:v>
      </x:c>
      <x:c r="G284" s="45" t="n">
        <x:v>63</x:v>
      </x:c>
      <x:c r="H284" s="45" t="n">
        <x:v>72</x:v>
      </x:c>
      <x:c r="I284" s="45" t="n">
        <x:v>63.68421052631579</x:v>
      </x:c>
      <x:c r="J284" s="45" t="n">
        <x:v>0</x:v>
      </x:c>
      <x:c r="K284" s="45" t="n">
        <x:v>83</x:v>
      </x:c>
      <x:c r="L284" s="51" t="str">
        <x:v>Пневмония, вызванная другими уточненными инфекционными агентами</x:v>
      </x:c>
      <x:c r="M284" s="45" t="n">
        <x:v>9</x:v>
      </x:c>
      <x:c r="N284" s="33" t="str">
        <x:v>False</x:v>
      </x:c>
      <x:c r="O284" s="45" t="n">
        <x:v>10</x:v>
      </x:c>
    </x:row>
    <x:row r="285">
      <x:c r="A285" s="33" t="str">
        <x:v>X</x:v>
      </x:c>
      <x:c r="B285" s="33" t="str">
        <x:v>J09-J18</x:v>
      </x:c>
      <x:c r="C285" s="51" t="str">
        <x:v>Грипп и пневмония</x:v>
      </x:c>
      <x:c r="D285" s="33" t="str">
        <x:v>J18</x:v>
      </x:c>
      <x:c r="E285" s="39" t="n">
        <x:v>2205</x:v>
      </x:c>
      <x:c r="F285" s="45" t="n">
        <x:v>67</x:v>
      </x:c>
      <x:c r="G285" s="45" t="n">
        <x:v>55</x:v>
      </x:c>
      <x:c r="H285" s="45" t="n">
        <x:v>76</x:v>
      </x:c>
      <x:c r="I285" s="45" t="n">
        <x:v>64.96689342403629</x:v>
      </x:c>
      <x:c r="J285" s="45" t="n">
        <x:v>0</x:v>
      </x:c>
      <x:c r="K285" s="45" t="n">
        <x:v>101</x:v>
      </x:c>
      <x:c r="L285" s="51" t="str">
        <x:v>Другая пневмония, возбудитель не уточнен</x:v>
      </x:c>
      <x:c r="M285" s="45" t="n">
        <x:v>21</x:v>
      </x:c>
      <x:c r="N285" s="33" t="str">
        <x:v>False</x:v>
      </x:c>
      <x:c r="O285" s="45" t="n">
        <x:v>10</x:v>
      </x:c>
    </x:row>
    <x:row r="286">
      <x:c r="A286" s="33" t="str">
        <x:v>X</x:v>
      </x:c>
      <x:c r="B286" s="33" t="str">
        <x:v>J30-J39</x:v>
      </x:c>
      <x:c r="C286" s="51" t="str">
        <x:v>Другие болезни верхних дыхательных путей</x:v>
      </x:c>
      <x:c r="D286" s="33" t="str">
        <x:v>J32</x:v>
      </x:c>
      <x:c r="E286" s="39" t="n">
        <x:v>1</x:v>
      </x:c>
      <x:c r="F286" s="45" t="n">
        <x:v>71</x:v>
      </x:c>
      <x:c r="G286" s="45" t="n">
        <x:v>71</x:v>
      </x:c>
      <x:c r="H286" s="45" t="n">
        <x:v>71</x:v>
      </x:c>
      <x:c r="I286" s="45" t="n">
        <x:v>71</x:v>
      </x:c>
      <x:c r="J286" s="45" t="n">
        <x:v>71</x:v>
      </x:c>
      <x:c r="K286" s="45" t="n">
        <x:v>71</x:v>
      </x:c>
      <x:c r="L286" s="51" t="str">
        <x:v>Хронический пансинусит</x:v>
      </x:c>
      <x:c r="M286" s="45" t="n">
        <x:v>0</x:v>
      </x:c>
      <x:c r="N286" s="33" t="str">
        <x:v>True</x:v>
      </x:c>
      <x:c r="O286" s="45" t="n">
        <x:v>10</x:v>
      </x:c>
    </x:row>
    <x:row r="287">
      <x:c r="A287" s="33" t="str">
        <x:v>X</x:v>
      </x:c>
      <x:c r="B287" s="33" t="str">
        <x:v>J30-J39</x:v>
      </x:c>
      <x:c r="C287" s="51" t="str">
        <x:v>Другие болезни верхних дыхательных путей</x:v>
      </x:c>
      <x:c r="D287" s="33" t="str">
        <x:v>J34</x:v>
      </x:c>
      <x:c r="E287" s="39" t="n">
        <x:v>1</x:v>
      </x:c>
      <x:c r="F287" s="45" t="n">
        <x:v>81</x:v>
      </x:c>
      <x:c r="G287" s="45" t="n">
        <x:v>81</x:v>
      </x:c>
      <x:c r="H287" s="45" t="n">
        <x:v>81</x:v>
      </x:c>
      <x:c r="I287" s="45" t="n">
        <x:v>81</x:v>
      </x:c>
      <x:c r="J287" s="45" t="n">
        <x:v>81</x:v>
      </x:c>
      <x:c r="K287" s="45" t="n">
        <x:v>81</x:v>
      </x:c>
      <x:c r="L287" s="51" t="str">
        <x:v>Абсцесс носа</x:v>
      </x:c>
      <x:c r="M287" s="45" t="n">
        <x:v>0</x:v>
      </x:c>
      <x:c r="N287" s="33" t="str">
        <x:v>True</x:v>
      </x:c>
      <x:c r="O287" s="45" t="n">
        <x:v>10</x:v>
      </x:c>
    </x:row>
    <x:row r="288">
      <x:c r="A288" s="33" t="str">
        <x:v>X</x:v>
      </x:c>
      <x:c r="B288" s="33" t="str">
        <x:v>J30-J39</x:v>
      </x:c>
      <x:c r="C288" s="51" t="str">
        <x:v>Другие болезни верхних дыхательных путей</x:v>
      </x:c>
      <x:c r="D288" s="33" t="str">
        <x:v>J36</x:v>
      </x:c>
      <x:c r="E288" s="39" t="n">
        <x:v>1</x:v>
      </x:c>
      <x:c r="F288" s="45" t="n">
        <x:v>45</x:v>
      </x:c>
      <x:c r="G288" s="45" t="n">
        <x:v>45</x:v>
      </x:c>
      <x:c r="H288" s="45" t="n">
        <x:v>45</x:v>
      </x:c>
      <x:c r="I288" s="45" t="n">
        <x:v>45</x:v>
      </x:c>
      <x:c r="J288" s="45" t="n">
        <x:v>45</x:v>
      </x:c>
      <x:c r="K288" s="45" t="n">
        <x:v>45</x:v>
      </x:c>
      <x:c r="L288" s="51" t="str">
        <x:v>Перитонзиллярный абсцесс</x:v>
      </x:c>
      <x:c r="M288" s="45" t="n">
        <x:v>0</x:v>
      </x:c>
      <x:c r="N288" s="33" t="str">
        <x:v>True</x:v>
      </x:c>
      <x:c r="O288" s="45" t="n">
        <x:v>10</x:v>
      </x:c>
    </x:row>
    <x:row r="289">
      <x:c r="A289" s="33" t="str">
        <x:v>X</x:v>
      </x:c>
      <x:c r="B289" s="33" t="str">
        <x:v>J30-J39</x:v>
      </x:c>
      <x:c r="C289" s="51" t="str">
        <x:v>Другие болезни верхних дыхательных путей</x:v>
      </x:c>
      <x:c r="D289" s="33" t="str">
        <x:v>J38</x:v>
      </x:c>
      <x:c r="E289" s="39" t="n">
        <x:v>6</x:v>
      </x:c>
      <x:c r="F289" s="45" t="n">
        <x:v>58</x:v>
      </x:c>
      <x:c r="G289" s="45" t="n">
        <x:v>45.75</x:v>
      </x:c>
      <x:c r="H289" s="45" t="n">
        <x:v>70.25</x:v>
      </x:c>
      <x:c r="I289" s="45" t="n">
        <x:v>57.833333333333336</x:v>
      </x:c>
      <x:c r="J289" s="45" t="n">
        <x:v>37</x:v>
      </x:c>
      <x:c r="K289" s="45" t="n">
        <x:v>78</x:v>
      </x:c>
      <x:c r="L289" s="51" t="str">
        <x:v>Отек гортани</x:v>
      </x:c>
      <x:c r="M289" s="45" t="n">
        <x:v>24.5</x:v>
      </x:c>
      <x:c r="N289" s="33" t="str">
        <x:v>False</x:v>
      </x:c>
      <x:c r="O289" s="45" t="n">
        <x:v>10</x:v>
      </x:c>
    </x:row>
    <x:row r="290">
      <x:c r="A290" s="33" t="str">
        <x:v>X</x:v>
      </x:c>
      <x:c r="B290" s="33" t="str">
        <x:v>J30-J39</x:v>
      </x:c>
      <x:c r="C290" s="51" t="str">
        <x:v>Другие болезни верхних дыхательных путей</x:v>
      </x:c>
      <x:c r="D290" s="33" t="str">
        <x:v>J39</x:v>
      </x:c>
      <x:c r="E290" s="39" t="n">
        <x:v>2</x:v>
      </x:c>
      <x:c r="F290" s="45" t="n">
        <x:v>62</x:v>
      </x:c>
      <x:c r="G290" s="45" t="n">
        <x:v>61.5</x:v>
      </x:c>
      <x:c r="H290" s="45" t="n">
        <x:v>62.5</x:v>
      </x:c>
      <x:c r="I290" s="45" t="n">
        <x:v>62</x:v>
      </x:c>
      <x:c r="J290" s="45" t="n">
        <x:v>61</x:v>
      </x:c>
      <x:c r="K290" s="45" t="n">
        <x:v>63</x:v>
      </x:c>
      <x:c r="L290" s="51" t="str">
        <x:v>Другие уточненные болезни верхних дыхательных путей</x:v>
      </x:c>
      <x:c r="M290" s="45" t="n">
        <x:v>1</x:v>
      </x:c>
      <x:c r="N290" s="33" t="str">
        <x:v>True</x:v>
      </x:c>
      <x:c r="O290" s="45" t="n">
        <x:v>10</x:v>
      </x:c>
    </x:row>
    <x:row r="291">
      <x:c r="A291" s="33" t="str">
        <x:v>X</x:v>
      </x:c>
      <x:c r="B291" s="33" t="str">
        <x:v>J40-J47</x:v>
      </x:c>
      <x:c r="C291" s="51" t="str">
        <x:v>Хронические болезни нижних дыхательных путей</x:v>
      </x:c>
      <x:c r="D291" s="33" t="str">
        <x:v>J41</x:v>
      </x:c>
      <x:c r="E291" s="39" t="n">
        <x:v>1</x:v>
      </x:c>
      <x:c r="F291" s="45" t="n">
        <x:v>84</x:v>
      </x:c>
      <x:c r="G291" s="45" t="n">
        <x:v>84</x:v>
      </x:c>
      <x:c r="H291" s="45" t="n">
        <x:v>84</x:v>
      </x:c>
      <x:c r="I291" s="45" t="n">
        <x:v>84</x:v>
      </x:c>
      <x:c r="J291" s="45" t="n">
        <x:v>84</x:v>
      </x:c>
      <x:c r="K291" s="45" t="n">
        <x:v>84</x:v>
      </x:c>
      <x:c r="L291" s="51" t="str">
        <x:v>Хронический бронхит</x:v>
      </x:c>
      <x:c r="M291" s="45" t="n">
        <x:v>0</x:v>
      </x:c>
      <x:c r="N291" s="33" t="str">
        <x:v>True</x:v>
      </x:c>
      <x:c r="O291" s="45" t="n">
        <x:v>10</x:v>
      </x:c>
    </x:row>
    <x:row r="292">
      <x:c r="A292" s="33" t="str">
        <x:v>X</x:v>
      </x:c>
      <x:c r="B292" s="33" t="str">
        <x:v>J40-J47</x:v>
      </x:c>
      <x:c r="C292" s="51" t="str">
        <x:v>Хронические болезни нижних дыхательных путей</x:v>
      </x:c>
      <x:c r="D292" s="33" t="str">
        <x:v>J43</x:v>
      </x:c>
      <x:c r="E292" s="39" t="n">
        <x:v>7</x:v>
      </x:c>
      <x:c r="F292" s="45" t="n">
        <x:v>77</x:v>
      </x:c>
      <x:c r="G292" s="45" t="n">
        <x:v>70</x:v>
      </x:c>
      <x:c r="H292" s="45" t="n">
        <x:v>79.5</x:v>
      </x:c>
      <x:c r="I292" s="45" t="n">
        <x:v>74.28571428571429</x:v>
      </x:c>
      <x:c r="J292" s="45" t="n">
        <x:v>61</x:v>
      </x:c>
      <x:c r="K292" s="45" t="n">
        <x:v>83</x:v>
      </x:c>
      <x:c r="L292" s="51" t="str">
        <x:v>Эмфизема неуточненная</x:v>
      </x:c>
      <x:c r="M292" s="45" t="n">
        <x:v>9.5</x:v>
      </x:c>
      <x:c r="N292" s="33" t="str">
        <x:v>False</x:v>
      </x:c>
      <x:c r="O292" s="45" t="n">
        <x:v>10</x:v>
      </x:c>
    </x:row>
    <x:row r="293">
      <x:c r="A293" s="33" t="str">
        <x:v>X</x:v>
      </x:c>
      <x:c r="B293" s="33" t="str">
        <x:v>J40-J47</x:v>
      </x:c>
      <x:c r="C293" s="51" t="str">
        <x:v>Хронические болезни нижних дыхательных путей</x:v>
      </x:c>
      <x:c r="D293" s="33" t="str">
        <x:v>J44</x:v>
      </x:c>
      <x:c r="E293" s="39" t="n">
        <x:v>1288</x:v>
      </x:c>
      <x:c r="F293" s="45" t="n">
        <x:v>71</x:v>
      </x:c>
      <x:c r="G293" s="45" t="n">
        <x:v>65</x:v>
      </x:c>
      <x:c r="H293" s="45" t="n">
        <x:v>78</x:v>
      </x:c>
      <x:c r="I293" s="45" t="n">
        <x:v>70.91459627329192</x:v>
      </x:c>
      <x:c r="J293" s="45" t="n">
        <x:v>26</x:v>
      </x:c>
      <x:c r="K293" s="45" t="n">
        <x:v>99</x:v>
      </x:c>
      <x:c r="L293" s="51" t="str">
        <x:v>Другая уточненная хроническая обструктивная легочная болезнь</x:v>
      </x:c>
      <x:c r="M293" s="45" t="n">
        <x:v>13</x:v>
      </x:c>
      <x:c r="N293" s="33" t="str">
        <x:v>False</x:v>
      </x:c>
      <x:c r="O293" s="45" t="n">
        <x:v>10</x:v>
      </x:c>
    </x:row>
    <x:row r="294">
      <x:c r="A294" s="33" t="str">
        <x:v>X</x:v>
      </x:c>
      <x:c r="B294" s="33" t="str">
        <x:v>J40-J47</x:v>
      </x:c>
      <x:c r="C294" s="51" t="str">
        <x:v>Хронические болезни нижних дыхательных путей</x:v>
      </x:c>
      <x:c r="D294" s="33" t="str">
        <x:v>J45</x:v>
      </x:c>
      <x:c r="E294" s="39" t="n">
        <x:v>27</x:v>
      </x:c>
      <x:c r="F294" s="45" t="n">
        <x:v>64</x:v>
      </x:c>
      <x:c r="G294" s="45" t="n">
        <x:v>58</x:v>
      </x:c>
      <x:c r="H294" s="45" t="n">
        <x:v>75.5</x:v>
      </x:c>
      <x:c r="I294" s="45" t="n">
        <x:v>61.74074074074074</x:v>
      </x:c>
      <x:c r="J294" s="45" t="n">
        <x:v>12</x:v>
      </x:c>
      <x:c r="K294" s="45" t="n">
        <x:v>84</x:v>
      </x:c>
      <x:c r="L294" s="51" t="str">
        <x:v>Смешанная астма</x:v>
      </x:c>
      <x:c r="M294" s="45" t="n">
        <x:v>17.5</x:v>
      </x:c>
      <x:c r="N294" s="33" t="str">
        <x:v>False</x:v>
      </x:c>
      <x:c r="O294" s="45" t="n">
        <x:v>10</x:v>
      </x:c>
    </x:row>
    <x:row r="295">
      <x:c r="A295" s="33" t="str">
        <x:v>X</x:v>
      </x:c>
      <x:c r="B295" s="33" t="str">
        <x:v>J40-J47</x:v>
      </x:c>
      <x:c r="C295" s="51" t="str">
        <x:v>Хронические болезни нижних дыхательных путей</x:v>
      </x:c>
      <x:c r="D295" s="33" t="str">
        <x:v>J47</x:v>
      </x:c>
      <x:c r="E295" s="39" t="n">
        <x:v>1</x:v>
      </x:c>
      <x:c r="F295" s="45" t="n">
        <x:v>84</x:v>
      </x:c>
      <x:c r="G295" s="45" t="n">
        <x:v>84</x:v>
      </x:c>
      <x:c r="H295" s="45" t="n">
        <x:v>84</x:v>
      </x:c>
      <x:c r="I295" s="45" t="n">
        <x:v>84</x:v>
      </x:c>
      <x:c r="J295" s="45" t="n">
        <x:v>84</x:v>
      </x:c>
      <x:c r="K295" s="45" t="n">
        <x:v>84</x:v>
      </x:c>
      <x:c r="L295" s="51" t="str">
        <x:v>Бронхоэктатическая болезнь</x:v>
      </x:c>
      <x:c r="M295" s="45" t="n">
        <x:v>0</x:v>
      </x:c>
      <x:c r="N295" s="33" t="str">
        <x:v>True</x:v>
      </x:c>
      <x:c r="O295" s="45" t="n">
        <x:v>10</x:v>
      </x:c>
    </x:row>
    <x:row r="296">
      <x:c r="A296" s="33" t="str">
        <x:v>X</x:v>
      </x:c>
      <x:c r="B296" s="33" t="str">
        <x:v>J60-J70</x:v>
      </x:c>
      <x:c r="C296" s="51" t="str">
        <x:v>Болезни легкого, вызванные внешними агентами</x:v>
      </x:c>
      <x:c r="D296" s="33" t="str">
        <x:v>J69</x:v>
      </x:c>
      <x:c r="E296" s="39" t="n">
        <x:v>1</x:v>
      </x:c>
      <x:c r="F296" s="45" t="n">
        <x:v>84</x:v>
      </x:c>
      <x:c r="G296" s="45" t="n">
        <x:v>84</x:v>
      </x:c>
      <x:c r="H296" s="45" t="n">
        <x:v>84</x:v>
      </x:c>
      <x:c r="I296" s="45" t="n">
        <x:v>84</x:v>
      </x:c>
      <x:c r="J296" s="45" t="n">
        <x:v>84</x:v>
      </x:c>
      <x:c r="K296" s="45" t="n">
        <x:v>84</x:v>
      </x:c>
      <x:c r="L296" s="51" t="str">
        <x:v>Пневмония вследствие пищи и рвотных масс</x:v>
      </x:c>
      <x:c r="M296" s="45" t="n">
        <x:v>0</x:v>
      </x:c>
      <x:c r="N296" s="33" t="str">
        <x:v>True</x:v>
      </x:c>
      <x:c r="O296" s="45" t="n">
        <x:v>10</x:v>
      </x:c>
    </x:row>
    <x:row r="297">
      <x:c r="A297" s="33" t="str">
        <x:v>X</x:v>
      </x:c>
      <x:c r="B297" s="33" t="str">
        <x:v>J80-J84</x:v>
      </x:c>
      <x:c r="C297" s="51" t="str">
        <x:v>Другие респираторные болезни, поражающие главным образом интерстициальную ткань</x:v>
      </x:c>
      <x:c r="D297" s="33" t="str">
        <x:v>J84</x:v>
      </x:c>
      <x:c r="E297" s="39" t="n">
        <x:v>91</x:v>
      </x:c>
      <x:c r="F297" s="45" t="n">
        <x:v>71</x:v>
      </x:c>
      <x:c r="G297" s="45" t="n">
        <x:v>64.5</x:v>
      </x:c>
      <x:c r="H297" s="45" t="n">
        <x:v>76.5</x:v>
      </x:c>
      <x:c r="I297" s="45" t="n">
        <x:v>70.21978021978022</x:v>
      </x:c>
      <x:c r="J297" s="45" t="n">
        <x:v>33</x:v>
      </x:c>
      <x:c r="K297" s="45" t="n">
        <x:v>91</x:v>
      </x:c>
      <x:c r="L297" s="51" t="str">
        <x:v>Другие интерстициальные легочные болезни с упоминанием о фиброзе</x:v>
      </x:c>
      <x:c r="M297" s="45" t="n">
        <x:v>12</x:v>
      </x:c>
      <x:c r="N297" s="33" t="str">
        <x:v>False</x:v>
      </x:c>
      <x:c r="O297" s="45" t="n">
        <x:v>10</x:v>
      </x:c>
    </x:row>
    <x:row r="298">
      <x:c r="A298" s="33" t="str">
        <x:v>X</x:v>
      </x:c>
      <x:c r="B298" s="33" t="str">
        <x:v>J85-J86</x:v>
      </x:c>
      <x:c r="C298" s="51" t="str">
        <x:v>Гнойные и некротические состояния нижних дыхательных путей</x:v>
      </x:c>
      <x:c r="D298" s="33" t="str">
        <x:v>J85</x:v>
      </x:c>
      <x:c r="E298" s="39" t="n">
        <x:v>224</x:v>
      </x:c>
      <x:c r="F298" s="45" t="n">
        <x:v>65</x:v>
      </x:c>
      <x:c r="G298" s="45" t="n">
        <x:v>53.75</x:v>
      </x:c>
      <x:c r="H298" s="45" t="n">
        <x:v>74.25</x:v>
      </x:c>
      <x:c r="I298" s="45" t="n">
        <x:v>63.39732142857143</x:v>
      </x:c>
      <x:c r="J298" s="45" t="n">
        <x:v>27</x:v>
      </x:c>
      <x:c r="K298" s="45" t="n">
        <x:v>93</x:v>
      </x:c>
      <x:c r="L298" s="51" t="str">
        <x:v>Абсцесс легкого с пневмонией</x:v>
      </x:c>
      <x:c r="M298" s="45" t="n">
        <x:v>20.5</x:v>
      </x:c>
      <x:c r="N298" s="33" t="str">
        <x:v>False</x:v>
      </x:c>
      <x:c r="O298" s="45" t="n">
        <x:v>10</x:v>
      </x:c>
    </x:row>
    <x:row r="299">
      <x:c r="A299" s="33" t="str">
        <x:v>X</x:v>
      </x:c>
      <x:c r="B299" s="33" t="str">
        <x:v>J85-J86</x:v>
      </x:c>
      <x:c r="C299" s="51" t="str">
        <x:v>Гнойные и некротические состояния нижних дыхательных путей</x:v>
      </x:c>
      <x:c r="D299" s="33" t="str">
        <x:v>J86</x:v>
      </x:c>
      <x:c r="E299" s="39" t="n">
        <x:v>21</x:v>
      </x:c>
      <x:c r="F299" s="45" t="n">
        <x:v>65</x:v>
      </x:c>
      <x:c r="G299" s="45" t="n">
        <x:v>60</x:v>
      </x:c>
      <x:c r="H299" s="45" t="n">
        <x:v>71</x:v>
      </x:c>
      <x:c r="I299" s="45" t="n">
        <x:v>64.33333333333333</x:v>
      </x:c>
      <x:c r="J299" s="45" t="n">
        <x:v>41</x:v>
      </x:c>
      <x:c r="K299" s="45" t="n">
        <x:v>80</x:v>
      </x:c>
      <x:c r="L299" s="51" t="str">
        <x:v>Пиоторакс без фистулы</x:v>
      </x:c>
      <x:c r="M299" s="45" t="n">
        <x:v>11</x:v>
      </x:c>
      <x:c r="N299" s="33" t="str">
        <x:v>False</x:v>
      </x:c>
      <x:c r="O299" s="45" t="n">
        <x:v>10</x:v>
      </x:c>
    </x:row>
    <x:row r="300">
      <x:c r="A300" s="33" t="str">
        <x:v>X</x:v>
      </x:c>
      <x:c r="B300" s="33" t="str">
        <x:v>J90-J94</x:v>
      </x:c>
      <x:c r="C300" s="51" t="str">
        <x:v>Другие болезни плевры</x:v>
      </x:c>
      <x:c r="D300" s="33" t="str">
        <x:v>J93</x:v>
      </x:c>
      <x:c r="E300" s="39" t="n">
        <x:v>1</x:v>
      </x:c>
      <x:c r="F300" s="45" t="n">
        <x:v>81</x:v>
      </x:c>
      <x:c r="G300" s="45" t="n">
        <x:v>81</x:v>
      </x:c>
      <x:c r="H300" s="45" t="n">
        <x:v>81</x:v>
      </x:c>
      <x:c r="I300" s="45" t="n">
        <x:v>81</x:v>
      </x:c>
      <x:c r="J300" s="45" t="n">
        <x:v>81</x:v>
      </x:c>
      <x:c r="K300" s="45" t="n">
        <x:v>81</x:v>
      </x:c>
      <x:c r="L300" s="51" t="str">
        <x:v>Спонтанный пневмоторакс</x:v>
      </x:c>
      <x:c r="M300" s="45" t="n">
        <x:v>0</x:v>
      </x:c>
      <x:c r="N300" s="33" t="str">
        <x:v>True</x:v>
      </x:c>
      <x:c r="O300" s="45" t="n">
        <x:v>10</x:v>
      </x:c>
    </x:row>
    <x:row r="301">
      <x:c r="A301" s="33" t="str">
        <x:v>X</x:v>
      </x:c>
      <x:c r="B301" s="33" t="str">
        <x:v>J90-J94</x:v>
      </x:c>
      <x:c r="C301" s="51" t="str">
        <x:v>Другие болезни плевры</x:v>
      </x:c>
      <x:c r="D301" s="33" t="str">
        <x:v>J94</x:v>
      </x:c>
      <x:c r="E301" s="39" t="n">
        <x:v>8</x:v>
      </x:c>
      <x:c r="F301" s="45" t="n">
        <x:v>73</x:v>
      </x:c>
      <x:c r="G301" s="45" t="n">
        <x:v>65.75</x:v>
      </x:c>
      <x:c r="H301" s="45" t="n">
        <x:v>86.25</x:v>
      </x:c>
      <x:c r="I301" s="45" t="n">
        <x:v>74.875</x:v>
      </x:c>
      <x:c r="J301" s="45" t="n">
        <x:v>60</x:v>
      </x:c>
      <x:c r="K301" s="45" t="n">
        <x:v>89</x:v>
      </x:c>
      <x:c r="L301" s="51" t="str">
        <x:v>Фиброторакс</x:v>
      </x:c>
      <x:c r="M301" s="45" t="n">
        <x:v>20.5</x:v>
      </x:c>
      <x:c r="N301" s="33" t="str">
        <x:v>False</x:v>
      </x:c>
      <x:c r="O301" s="45" t="n">
        <x:v>10</x:v>
      </x:c>
    </x:row>
    <x:row r="302">
      <x:c r="A302" s="33" t="str">
        <x:v>X</x:v>
      </x:c>
      <x:c r="B302" s="33" t="str">
        <x:v>J95-J99</x:v>
      </x:c>
      <x:c r="C302" s="51" t="str">
        <x:v>Другие болезни органов дыхания</x:v>
      </x:c>
      <x:c r="D302" s="33" t="str">
        <x:v>J96</x:v>
      </x:c>
      <x:c r="E302" s="39" t="n">
        <x:v>1</x:v>
      </x:c>
      <x:c r="F302" s="45" t="n">
        <x:v>52</x:v>
      </x:c>
      <x:c r="G302" s="45" t="n">
        <x:v>52</x:v>
      </x:c>
      <x:c r="H302" s="45" t="n">
        <x:v>52</x:v>
      </x:c>
      <x:c r="I302" s="45" t="n">
        <x:v>52</x:v>
      </x:c>
      <x:c r="J302" s="45" t="n">
        <x:v>52</x:v>
      </x:c>
      <x:c r="K302" s="45" t="n">
        <x:v>52</x:v>
      </x:c>
      <x:c r="L302" s="51" t="str">
        <x:v>Дыхательная недостаточность</x:v>
      </x:c>
      <x:c r="M302" s="45" t="n">
        <x:v>0</x:v>
      </x:c>
      <x:c r="N302" s="33" t="str">
        <x:v>True</x:v>
      </x:c>
      <x:c r="O302" s="45" t="n">
        <x:v>10</x:v>
      </x:c>
    </x:row>
    <x:row r="303">
      <x:c r="A303" s="33" t="str">
        <x:v>X</x:v>
      </x:c>
      <x:c r="B303" s="33" t="str">
        <x:v>J95-J99</x:v>
      </x:c>
      <x:c r="C303" s="51" t="str">
        <x:v>Другие болезни органов дыхания</x:v>
      </x:c>
      <x:c r="D303" s="33" t="str">
        <x:v>J98</x:v>
      </x:c>
      <x:c r="E303" s="39" t="n">
        <x:v>4</x:v>
      </x:c>
      <x:c r="F303" s="45" t="n">
        <x:v>57.5</x:v>
      </x:c>
      <x:c r="G303" s="45" t="n">
        <x:v>46.25</x:v>
      </x:c>
      <x:c r="H303" s="45" t="n">
        <x:v>66</x:v>
      </x:c>
      <x:c r="I303" s="45" t="n">
        <x:v>54.75</x:v>
      </x:c>
      <x:c r="J303" s="45" t="n">
        <x:v>38</x:v>
      </x:c>
      <x:c r="K303" s="45" t="n">
        <x:v>66</x:v>
      </x:c>
      <x:c r="L303" s="51" t="str">
        <x:v>Болезни средостения неуточненные</x:v>
      </x:c>
      <x:c r="M303" s="45" t="n">
        <x:v>19.75</x:v>
      </x:c>
      <x:c r="N303" s="33" t="str">
        <x:v>True</x:v>
      </x:c>
      <x:c r="O303" s="45" t="n">
        <x:v>10</x:v>
      </x:c>
    </x:row>
    <x:row r="304">
      <x:c r="A304" s="33" t="str">
        <x:v>XI</x:v>
      </x:c>
      <x:c r="B304" s="33" t="str">
        <x:v>K00-K14</x:v>
      </x:c>
      <x:c r="C304" s="51" t="str">
        <x:v>Болезни полости рта, слюнных желез и челюстей</x:v>
      </x:c>
      <x:c r="D304" s="33" t="str">
        <x:v>K10</x:v>
      </x:c>
      <x:c r="E304" s="39" t="n">
        <x:v>2</x:v>
      </x:c>
      <x:c r="F304" s="45" t="n">
        <x:v>55.5</x:v>
      </x:c>
      <x:c r="G304" s="45" t="n">
        <x:v>55.25</x:v>
      </x:c>
      <x:c r="H304" s="45" t="n">
        <x:v>55.75</x:v>
      </x:c>
      <x:c r="I304" s="45" t="n">
        <x:v>55.5</x:v>
      </x:c>
      <x:c r="J304" s="45" t="n">
        <x:v>55</x:v>
      </x:c>
      <x:c r="K304" s="45" t="n">
        <x:v>56</x:v>
      </x:c>
      <x:c r="L304" s="51" t="str">
        <x:v>Воспалительные заболевания челюстей</x:v>
      </x:c>
      <x:c r="M304" s="45" t="n">
        <x:v>0.5</x:v>
      </x:c>
      <x:c r="N304" s="33" t="str">
        <x:v>True</x:v>
      </x:c>
      <x:c r="O304" s="45" t="n">
        <x:v>11</x:v>
      </x:c>
    </x:row>
    <x:row r="305">
      <x:c r="A305" s="33" t="str">
        <x:v>XI</x:v>
      </x:c>
      <x:c r="B305" s="33" t="str">
        <x:v>K00-K14</x:v>
      </x:c>
      <x:c r="C305" s="51" t="str">
        <x:v>Болезни полости рта, слюнных желез и челюстей</x:v>
      </x:c>
      <x:c r="D305" s="33" t="str">
        <x:v>K11</x:v>
      </x:c>
      <x:c r="E305" s="39" t="n">
        <x:v>1</x:v>
      </x:c>
      <x:c r="F305" s="45" t="n">
        <x:v>54</x:v>
      </x:c>
      <x:c r="G305" s="45" t="n">
        <x:v>54</x:v>
      </x:c>
      <x:c r="H305" s="45" t="n">
        <x:v>54</x:v>
      </x:c>
      <x:c r="I305" s="45" t="n">
        <x:v>54</x:v>
      </x:c>
      <x:c r="J305" s="45" t="n">
        <x:v>54</x:v>
      </x:c>
      <x:c r="K305" s="45" t="n">
        <x:v>54</x:v>
      </x:c>
      <x:c r="L305" s="51" t="str">
        <x:v>Абсцесс слюнной железы</x:v>
      </x:c>
      <x:c r="M305" s="45" t="n">
        <x:v>0</x:v>
      </x:c>
      <x:c r="N305" s="33" t="str">
        <x:v>True</x:v>
      </x:c>
      <x:c r="O305" s="45" t="n">
        <x:v>11</x:v>
      </x:c>
    </x:row>
    <x:row r="306">
      <x:c r="A306" s="33" t="str">
        <x:v>XI</x:v>
      </x:c>
      <x:c r="B306" s="33" t="str">
        <x:v>K00-K14</x:v>
      </x:c>
      <x:c r="C306" s="51" t="str">
        <x:v>Болезни полости рта, слюнных желез и челюстей</x:v>
      </x:c>
      <x:c r="D306" s="33" t="str">
        <x:v>K12</x:v>
      </x:c>
      <x:c r="E306" s="39" t="n">
        <x:v>10</x:v>
      </x:c>
      <x:c r="F306" s="45" t="n">
        <x:v>50.5</x:v>
      </x:c>
      <x:c r="G306" s="45" t="n">
        <x:v>37.25</x:v>
      </x:c>
      <x:c r="H306" s="45" t="n">
        <x:v>61.75</x:v>
      </x:c>
      <x:c r="I306" s="45" t="n">
        <x:v>53</x:v>
      </x:c>
      <x:c r="J306" s="45" t="n">
        <x:v>33</x:v>
      </x:c>
      <x:c r="K306" s="45" t="n">
        <x:v>82</x:v>
      </x:c>
      <x:c r="L306" s="51" t="str">
        <x:v>Флегмона и абсцесс области рта</x:v>
      </x:c>
      <x:c r="M306" s="45" t="n">
        <x:v>24.5</x:v>
      </x:c>
      <x:c r="N306" s="33" t="str">
        <x:v>False</x:v>
      </x:c>
      <x:c r="O306" s="45" t="n">
        <x:v>11</x:v>
      </x:c>
    </x:row>
    <x:row r="307">
      <x:c r="A307" s="33" t="str">
        <x:v>XI</x:v>
      </x:c>
      <x:c r="B307" s="33" t="str">
        <x:v>K00-K14</x:v>
      </x:c>
      <x:c r="C307" s="51" t="str">
        <x:v>Болезни полости рта, слюнных желез и челюстей</x:v>
      </x:c>
      <x:c r="D307" s="33" t="str">
        <x:v>K13</x:v>
      </x:c>
      <x:c r="E307" s="39" t="n">
        <x:v>1</x:v>
      </x:c>
      <x:c r="F307" s="45" t="n">
        <x:v>74</x:v>
      </x:c>
      <x:c r="G307" s="45" t="n">
        <x:v>74</x:v>
      </x:c>
      <x:c r="H307" s="45" t="n">
        <x:v>74</x:v>
      </x:c>
      <x:c r="I307" s="45" t="n">
        <x:v>74</x:v>
      </x:c>
      <x:c r="J307" s="45" t="n">
        <x:v>74</x:v>
      </x:c>
      <x:c r="K307" s="45" t="n">
        <x:v>74</x:v>
      </x:c>
      <x:c r="L307" s="51" t="str">
        <x:v>Лейкоплакия слизистой оболочки полости рта</x:v>
      </x:c>
      <x:c r="M307" s="45" t="n">
        <x:v>0</x:v>
      </x:c>
      <x:c r="N307" s="33" t="str">
        <x:v>True</x:v>
      </x:c>
      <x:c r="O307" s="45" t="n">
        <x:v>11</x:v>
      </x:c>
    </x:row>
    <x:row r="308">
      <x:c r="A308" s="33" t="str">
        <x:v>XI</x:v>
      </x:c>
      <x:c r="B308" s="33" t="str">
        <x:v>K20-K31</x:v>
      </x:c>
      <x:c r="C308" s="51" t="str">
        <x:v>Болезни пищевода, желудка и двенадцатиперстной кишки</x:v>
      </x:c>
      <x:c r="D308" s="33" t="str">
        <x:v>K20</x:v>
      </x:c>
      <x:c r="E308" s="39" t="n">
        <x:v>2</x:v>
      </x:c>
      <x:c r="F308" s="45" t="n">
        <x:v>59.5</x:v>
      </x:c>
      <x:c r="G308" s="45" t="n">
        <x:v>54.75</x:v>
      </x:c>
      <x:c r="H308" s="45" t="n">
        <x:v>64.25</x:v>
      </x:c>
      <x:c r="I308" s="45" t="n">
        <x:v>59.5</x:v>
      </x:c>
      <x:c r="J308" s="45" t="n">
        <x:v>50</x:v>
      </x:c>
      <x:c r="K308" s="45" t="n">
        <x:v>69</x:v>
      </x:c>
      <x:c r="L308" s="51" t="str">
        <x:v>Эзофагит</x:v>
      </x:c>
      <x:c r="M308" s="45" t="n">
        <x:v>9.5</x:v>
      </x:c>
      <x:c r="N308" s="33" t="str">
        <x:v>True</x:v>
      </x:c>
      <x:c r="O308" s="45" t="n">
        <x:v>11</x:v>
      </x:c>
    </x:row>
    <x:row r="309">
      <x:c r="A309" s="33" t="str">
        <x:v>XI</x:v>
      </x:c>
      <x:c r="B309" s="33" t="str">
        <x:v>K20-K31</x:v>
      </x:c>
      <x:c r="C309" s="51" t="str">
        <x:v>Болезни пищевода, желудка и двенадцатиперстной кишки</x:v>
      </x:c>
      <x:c r="D309" s="33" t="str">
        <x:v>K21</x:v>
      </x:c>
      <x:c r="E309" s="39" t="n">
        <x:v>2</x:v>
      </x:c>
      <x:c r="F309" s="45" t="n">
        <x:v>72.5</x:v>
      </x:c>
      <x:c r="G309" s="45" t="n">
        <x:v>66.25</x:v>
      </x:c>
      <x:c r="H309" s="45" t="n">
        <x:v>78.75</x:v>
      </x:c>
      <x:c r="I309" s="45" t="n">
        <x:v>72.5</x:v>
      </x:c>
      <x:c r="J309" s="45" t="n">
        <x:v>60</x:v>
      </x:c>
      <x:c r="K309" s="45" t="n">
        <x:v>85</x:v>
      </x:c>
      <x:c r="L309" s="51" t="str">
        <x:v>Гастроэзофагеальный рефлюкс с эзофагитом</x:v>
      </x:c>
      <x:c r="M309" s="45" t="n">
        <x:v>12.5</x:v>
      </x:c>
      <x:c r="N309" s="33" t="str">
        <x:v>True</x:v>
      </x:c>
      <x:c r="O309" s="45" t="n">
        <x:v>11</x:v>
      </x:c>
    </x:row>
    <x:row r="310">
      <x:c r="A310" s="33" t="str">
        <x:v>XI</x:v>
      </x:c>
      <x:c r="B310" s="33" t="str">
        <x:v>K20-K31</x:v>
      </x:c>
      <x:c r="C310" s="51" t="str">
        <x:v>Болезни пищевода, желудка и двенадцатиперстной кишки</x:v>
      </x:c>
      <x:c r="D310" s="33" t="str">
        <x:v>K22</x:v>
      </x:c>
      <x:c r="E310" s="39" t="n">
        <x:v>128</x:v>
      </x:c>
      <x:c r="F310" s="45" t="n">
        <x:v>54</x:v>
      </x:c>
      <x:c r="G310" s="45" t="n">
        <x:v>47</x:v>
      </x:c>
      <x:c r="H310" s="45" t="n">
        <x:v>66.25</x:v>
      </x:c>
      <x:c r="I310" s="45" t="n">
        <x:v>56.3203125</x:v>
      </x:c>
      <x:c r="J310" s="45" t="n">
        <x:v>15</x:v>
      </x:c>
      <x:c r="K310" s="45" t="n">
        <x:v>87</x:v>
      </x:c>
      <x:c r="L310" s="51" t="str">
        <x:v>Желудочно-пищеводный разрывно-геморрагический синдром</x:v>
      </x:c>
      <x:c r="M310" s="45" t="n">
        <x:v>19.25</x:v>
      </x:c>
      <x:c r="N310" s="33" t="str">
        <x:v>False</x:v>
      </x:c>
      <x:c r="O310" s="45" t="n">
        <x:v>11</x:v>
      </x:c>
    </x:row>
    <x:row r="311">
      <x:c r="A311" s="33" t="str">
        <x:v>XI</x:v>
      </x:c>
      <x:c r="B311" s="33" t="str">
        <x:v>K20-K31</x:v>
      </x:c>
      <x:c r="C311" s="51" t="str">
        <x:v>Болезни пищевода, желудка и двенадцатиперстной кишки</x:v>
      </x:c>
      <x:c r="D311" s="33" t="str">
        <x:v>K25</x:v>
      </x:c>
      <x:c r="E311" s="39" t="n">
        <x:v>321</x:v>
      </x:c>
      <x:c r="F311" s="45" t="n">
        <x:v>68</x:v>
      </x:c>
      <x:c r="G311" s="45" t="n">
        <x:v>60</x:v>
      </x:c>
      <x:c r="H311" s="45" t="n">
        <x:v>77</x:v>
      </x:c>
      <x:c r="I311" s="45" t="n">
        <x:v>67.79127725856698</x:v>
      </x:c>
      <x:c r="J311" s="45" t="n">
        <x:v>32</x:v>
      </x:c>
      <x:c r="K311" s="45" t="n">
        <x:v>98</x:v>
      </x:c>
      <x:c r="L311" s="51" t="str">
        <x:v>Язва желудка хроническая или неуточненная с кровотечением</x:v>
      </x:c>
      <x:c r="M311" s="45" t="n">
        <x:v>17</x:v>
      </x:c>
      <x:c r="N311" s="33" t="str">
        <x:v>False</x:v>
      </x:c>
      <x:c r="O311" s="45" t="n">
        <x:v>11</x:v>
      </x:c>
    </x:row>
    <x:row r="312">
      <x:c r="A312" s="33" t="str">
        <x:v>XI</x:v>
      </x:c>
      <x:c r="B312" s="33" t="str">
        <x:v>K20-K31</x:v>
      </x:c>
      <x:c r="C312" s="51" t="str">
        <x:v>Болезни пищевода, желудка и двенадцатиперстной кишки</x:v>
      </x:c>
      <x:c r="D312" s="33" t="str">
        <x:v>K26</x:v>
      </x:c>
      <x:c r="E312" s="39" t="n">
        <x:v>172</x:v>
      </x:c>
      <x:c r="F312" s="45" t="n">
        <x:v>68.5</x:v>
      </x:c>
      <x:c r="G312" s="45" t="n">
        <x:v>58.75</x:v>
      </x:c>
      <x:c r="H312" s="45" t="n">
        <x:v>80.25</x:v>
      </x:c>
      <x:c r="I312" s="45" t="n">
        <x:v>68.20348837209302</x:v>
      </x:c>
      <x:c r="J312" s="45" t="n">
        <x:v>34</x:v>
      </x:c>
      <x:c r="K312" s="45" t="n">
        <x:v>97</x:v>
      </x:c>
      <x:c r="L312" s="51" t="str">
        <x:v>Язва двенадцатиперстной кишки хроническая или неуточненная с кровотечением</x:v>
      </x:c>
      <x:c r="M312" s="45" t="n">
        <x:v>21.5</x:v>
      </x:c>
      <x:c r="N312" s="33" t="str">
        <x:v>False</x:v>
      </x:c>
      <x:c r="O312" s="45" t="n">
        <x:v>11</x:v>
      </x:c>
    </x:row>
    <x:row r="313">
      <x:c r="A313" s="33" t="str">
        <x:v>XI</x:v>
      </x:c>
      <x:c r="B313" s="33" t="str">
        <x:v>K20-K31</x:v>
      </x:c>
      <x:c r="C313" s="51" t="str">
        <x:v>Болезни пищевода, желудка и двенадцатиперстной кишки</x:v>
      </x:c>
      <x:c r="D313" s="33" t="str">
        <x:v>K28</x:v>
      </x:c>
      <x:c r="E313" s="39" t="n">
        <x:v>3</x:v>
      </x:c>
      <x:c r="F313" s="45" t="n">
        <x:v>57</x:v>
      </x:c>
      <x:c r="G313" s="45" t="n">
        <x:v>54.5</x:v>
      </x:c>
      <x:c r="H313" s="45" t="n">
        <x:v>69.5</x:v>
      </x:c>
      <x:c r="I313" s="45" t="n">
        <x:v>63.666666666666664</x:v>
      </x:c>
      <x:c r="J313" s="45" t="n">
        <x:v>52</x:v>
      </x:c>
      <x:c r="K313" s="45" t="n">
        <x:v>82</x:v>
      </x:c>
      <x:c r="L313" s="51" t="str">
        <x:v>Гастроеюнальная язва хроническая или неуточненная с прободением</x:v>
      </x:c>
      <x:c r="M313" s="45" t="n">
        <x:v>15</x:v>
      </x:c>
      <x:c r="N313" s="33" t="str">
        <x:v>True</x:v>
      </x:c>
      <x:c r="O313" s="45" t="n">
        <x:v>11</x:v>
      </x:c>
    </x:row>
    <x:row r="314">
      <x:c r="A314" s="33" t="str">
        <x:v>XI</x:v>
      </x:c>
      <x:c r="B314" s="33" t="str">
        <x:v>K20-K31</x:v>
      </x:c>
      <x:c r="C314" s="51" t="str">
        <x:v>Болезни пищевода, желудка и двенадцатиперстной кишки</x:v>
      </x:c>
      <x:c r="D314" s="33" t="str">
        <x:v>K29</x:v>
      </x:c>
      <x:c r="E314" s="39" t="n">
        <x:v>33</x:v>
      </x:c>
      <x:c r="F314" s="45" t="n">
        <x:v>67</x:v>
      </x:c>
      <x:c r="G314" s="45" t="n">
        <x:v>60</x:v>
      </x:c>
      <x:c r="H314" s="45" t="n">
        <x:v>74</x:v>
      </x:c>
      <x:c r="I314" s="45" t="n">
        <x:v>67.72727272727273</x:v>
      </x:c>
      <x:c r="J314" s="45" t="n">
        <x:v>40</x:v>
      </x:c>
      <x:c r="K314" s="45" t="n">
        <x:v>88</x:v>
      </x:c>
      <x:c r="L314" s="51" t="str">
        <x:v>Острый геморрагический гастрит</x:v>
      </x:c>
      <x:c r="M314" s="45" t="n">
        <x:v>14</x:v>
      </x:c>
      <x:c r="N314" s="33" t="str">
        <x:v>False</x:v>
      </x:c>
      <x:c r="O314" s="45" t="n">
        <x:v>11</x:v>
      </x:c>
    </x:row>
    <x:row r="315">
      <x:c r="A315" s="33" t="str">
        <x:v>XI</x:v>
      </x:c>
      <x:c r="B315" s="33" t="str">
        <x:v>K20-K31</x:v>
      </x:c>
      <x:c r="C315" s="51" t="str">
        <x:v>Болезни пищевода, желудка и двенадцатиперстной кишки</x:v>
      </x:c>
      <x:c r="D315" s="33" t="str">
        <x:v>K31</x:v>
      </x:c>
      <x:c r="E315" s="39" t="n">
        <x:v>5</x:v>
      </x:c>
      <x:c r="F315" s="45" t="n">
        <x:v>60</x:v>
      </x:c>
      <x:c r="G315" s="45" t="n">
        <x:v>48</x:v>
      </x:c>
      <x:c r="H315" s="45" t="n">
        <x:v>66</x:v>
      </x:c>
      <x:c r="I315" s="45" t="n">
        <x:v>56.8</x:v>
      </x:c>
      <x:c r="J315" s="45" t="n">
        <x:v>31</x:v>
      </x:c>
      <x:c r="K315" s="45" t="n">
        <x:v>79</x:v>
      </x:c>
      <x:c r="L315" s="51" t="str">
        <x:v>Другие уточненные болезни желудка и двенадцатиперстной кишки</x:v>
      </x:c>
      <x:c r="M315" s="45" t="n">
        <x:v>18</x:v>
      </x:c>
      <x:c r="N315" s="33" t="str">
        <x:v>False</x:v>
      </x:c>
      <x:c r="O315" s="45" t="n">
        <x:v>11</x:v>
      </x:c>
    </x:row>
    <x:row r="316">
      <x:c r="A316" s="33" t="str">
        <x:v>XI</x:v>
      </x:c>
      <x:c r="B316" s="33" t="str">
        <x:v>K35-K38</x:v>
      </x:c>
      <x:c r="C316" s="51" t="str">
        <x:v>Болезни аппендикса [червеобразного отростка]</x:v>
      </x:c>
      <x:c r="D316" s="33" t="str">
        <x:v>K35</x:v>
      </x:c>
      <x:c r="E316" s="39" t="n">
        <x:v>12</x:v>
      </x:c>
      <x:c r="F316" s="45" t="n">
        <x:v>67.5</x:v>
      </x:c>
      <x:c r="G316" s="45" t="n">
        <x:v>60.5</x:v>
      </x:c>
      <x:c r="H316" s="45" t="n">
        <x:v>69.5</x:v>
      </x:c>
      <x:c r="I316" s="45" t="n">
        <x:v>65.58333333333333</x:v>
      </x:c>
      <x:c r="J316" s="45" t="n">
        <x:v>50</x:v>
      </x:c>
      <x:c r="K316" s="45" t="n">
        <x:v>80</x:v>
      </x:c>
      <x:c r="L316" s="51" t="str">
        <x:v>Острый аппендицит с генерализованным перитонитом</x:v>
      </x:c>
      <x:c r="M316" s="45" t="n">
        <x:v>9</x:v>
      </x:c>
      <x:c r="N316" s="33" t="str">
        <x:v>False</x:v>
      </x:c>
      <x:c r="O316" s="45" t="n">
        <x:v>11</x:v>
      </x:c>
    </x:row>
    <x:row r="317">
      <x:c r="A317" s="33" t="str">
        <x:v>XI</x:v>
      </x:c>
      <x:c r="B317" s="33" t="str">
        <x:v>K40-K46</x:v>
      </x:c>
      <x:c r="C317" s="51" t="str">
        <x:v>Грыжи</x:v>
      </x:c>
      <x:c r="D317" s="33" t="str">
        <x:v>K40</x:v>
      </x:c>
      <x:c r="E317" s="39" t="n">
        <x:v>21</x:v>
      </x:c>
      <x:c r="F317" s="45" t="n">
        <x:v>74</x:v>
      </x:c>
      <x:c r="G317" s="45" t="n">
        <x:v>68</x:v>
      </x:c>
      <x:c r="H317" s="45" t="n">
        <x:v>82</x:v>
      </x:c>
      <x:c r="I317" s="45" t="n">
        <x:v>74.9047619047619</x:v>
      </x:c>
      <x:c r="J317" s="45" t="n">
        <x:v>59</x:v>
      </x:c>
      <x:c r="K317" s="45" t="n">
        <x:v>90</x:v>
      </x:c>
      <x:c r="L317" s="51" t="str">
        <x:v>Односторонняя или неуточненная паховая грыжа с гангреной</x:v>
      </x:c>
      <x:c r="M317" s="45" t="n">
        <x:v>14</x:v>
      </x:c>
      <x:c r="N317" s="33" t="str">
        <x:v>False</x:v>
      </x:c>
      <x:c r="O317" s="45" t="n">
        <x:v>11</x:v>
      </x:c>
    </x:row>
    <x:row r="318">
      <x:c r="A318" s="33" t="str">
        <x:v>XI</x:v>
      </x:c>
      <x:c r="B318" s="33" t="str">
        <x:v>K40-K46</x:v>
      </x:c>
      <x:c r="C318" s="51" t="str">
        <x:v>Грыжи</x:v>
      </x:c>
      <x:c r="D318" s="33" t="str">
        <x:v>K41</x:v>
      </x:c>
      <x:c r="E318" s="39" t="n">
        <x:v>4</x:v>
      </x:c>
      <x:c r="F318" s="45" t="n">
        <x:v>81.5</x:v>
      </x:c>
      <x:c r="G318" s="45" t="n">
        <x:v>73</x:v>
      </x:c>
      <x:c r="H318" s="45" t="n">
        <x:v>84.25</x:v>
      </x:c>
      <x:c r="I318" s="45" t="n">
        <x:v>75.75</x:v>
      </x:c>
      <x:c r="J318" s="45" t="n">
        <x:v>55</x:v>
      </x:c>
      <x:c r="K318" s="45" t="n">
        <x:v>85</x:v>
      </x:c>
      <x:c r="L318" s="51" t="str">
        <x:v>Односторонняя или неуточненная бедренная грыжа с непроходимостью без гангрены</x:v>
      </x:c>
      <x:c r="M318" s="45" t="n">
        <x:v>11.25</x:v>
      </x:c>
      <x:c r="N318" s="33" t="str">
        <x:v>True</x:v>
      </x:c>
      <x:c r="O318" s="45" t="n">
        <x:v>11</x:v>
      </x:c>
    </x:row>
    <x:row r="319">
      <x:c r="A319" s="33" t="str">
        <x:v>XI</x:v>
      </x:c>
      <x:c r="B319" s="33" t="str">
        <x:v>K40-K46</x:v>
      </x:c>
      <x:c r="C319" s="51" t="str">
        <x:v>Грыжи</x:v>
      </x:c>
      <x:c r="D319" s="33" t="str">
        <x:v>K42</x:v>
      </x:c>
      <x:c r="E319" s="39" t="n">
        <x:v>24</x:v>
      </x:c>
      <x:c r="F319" s="45" t="n">
        <x:v>72</x:v>
      </x:c>
      <x:c r="G319" s="45" t="n">
        <x:v>67.75</x:v>
      </x:c>
      <x:c r="H319" s="45" t="n">
        <x:v>77</x:v>
      </x:c>
      <x:c r="I319" s="45" t="n">
        <x:v>72.375</x:v>
      </x:c>
      <x:c r="J319" s="45" t="n">
        <x:v>55</x:v>
      </x:c>
      <x:c r="K319" s="45" t="n">
        <x:v>92</x:v>
      </x:c>
      <x:c r="L319" s="51" t="str">
        <x:v>Пупочная грыжа с гангреной</x:v>
      </x:c>
      <x:c r="M319" s="45" t="n">
        <x:v>9.25</x:v>
      </x:c>
      <x:c r="N319" s="33" t="str">
        <x:v>False</x:v>
      </x:c>
      <x:c r="O319" s="45" t="n">
        <x:v>11</x:v>
      </x:c>
    </x:row>
    <x:row r="320">
      <x:c r="A320" s="33" t="str">
        <x:v>XI</x:v>
      </x:c>
      <x:c r="B320" s="33" t="str">
        <x:v>K40-K46</x:v>
      </x:c>
      <x:c r="C320" s="51" t="str">
        <x:v>Грыжи</x:v>
      </x:c>
      <x:c r="D320" s="33" t="str">
        <x:v>K43</x:v>
      </x:c>
      <x:c r="E320" s="39" t="n">
        <x:v>61</x:v>
      </x:c>
      <x:c r="F320" s="45" t="n">
        <x:v>69</x:v>
      </x:c>
      <x:c r="G320" s="45" t="n">
        <x:v>62</x:v>
      </x:c>
      <x:c r="H320" s="45" t="n">
        <x:v>82</x:v>
      </x:c>
      <x:c r="I320" s="45" t="n">
        <x:v>69.57377049180327</x:v>
      </x:c>
      <x:c r="J320" s="45" t="n">
        <x:v>41</x:v>
      </x:c>
      <x:c r="K320" s="45" t="n">
        <x:v>91</x:v>
      </x:c>
      <x:c r="L320" s="51" t="str">
        <x:v>Послеоперационная грыжа с гангреной</x:v>
      </x:c>
      <x:c r="M320" s="45" t="n">
        <x:v>20</x:v>
      </x:c>
      <x:c r="N320" s="33" t="str">
        <x:v>False</x:v>
      </x:c>
      <x:c r="O320" s="45" t="n">
        <x:v>11</x:v>
      </x:c>
    </x:row>
    <x:row r="321">
      <x:c r="A321" s="33" t="str">
        <x:v>XI</x:v>
      </x:c>
      <x:c r="B321" s="33" t="str">
        <x:v>K40-K46</x:v>
      </x:c>
      <x:c r="C321" s="51" t="str">
        <x:v>Грыжи</x:v>
      </x:c>
      <x:c r="D321" s="33" t="str">
        <x:v>K44</x:v>
      </x:c>
      <x:c r="E321" s="39" t="n">
        <x:v>15</x:v>
      </x:c>
      <x:c r="F321" s="45" t="n">
        <x:v>62</x:v>
      </x:c>
      <x:c r="G321" s="45" t="n">
        <x:v>55</x:v>
      </x:c>
      <x:c r="H321" s="45" t="n">
        <x:v>77</x:v>
      </x:c>
      <x:c r="I321" s="45" t="n">
        <x:v>64</x:v>
      </x:c>
      <x:c r="J321" s="45" t="n">
        <x:v>26</x:v>
      </x:c>
      <x:c r="K321" s="45" t="n">
        <x:v>93</x:v>
      </x:c>
      <x:c r="L321" s="51" t="str">
        <x:v>Диафрагмальная грыжа с гангреной</x:v>
      </x:c>
      <x:c r="M321" s="45" t="n">
        <x:v>22</x:v>
      </x:c>
      <x:c r="N321" s="33" t="str">
        <x:v>False</x:v>
      </x:c>
      <x:c r="O321" s="45" t="n">
        <x:v>11</x:v>
      </x:c>
    </x:row>
    <x:row r="322">
      <x:c r="A322" s="33" t="str">
        <x:v>XI</x:v>
      </x:c>
      <x:c r="B322" s="33" t="str">
        <x:v>K40-K46</x:v>
      </x:c>
      <x:c r="C322" s="51" t="str">
        <x:v>Грыжи</x:v>
      </x:c>
      <x:c r="D322" s="33" t="str">
        <x:v>K45</x:v>
      </x:c>
      <x:c r="E322" s="39" t="n">
        <x:v>6</x:v>
      </x:c>
      <x:c r="F322" s="45" t="n">
        <x:v>74.5</x:v>
      </x:c>
      <x:c r="G322" s="45" t="n">
        <x:v>63.75</x:v>
      </x:c>
      <x:c r="H322" s="45" t="n">
        <x:v>87.5</x:v>
      </x:c>
      <x:c r="I322" s="45" t="n">
        <x:v>75</x:v>
      </x:c>
      <x:c r="J322" s="45" t="n">
        <x:v>58</x:v>
      </x:c>
      <x:c r="K322" s="45" t="n">
        <x:v>91</x:v>
      </x:c>
      <x:c r="L322" s="51" t="str">
        <x:v>Другая уточненная грыжа брюшной полости с гангреной</x:v>
      </x:c>
      <x:c r="M322" s="45" t="n">
        <x:v>23.75</x:v>
      </x:c>
      <x:c r="N322" s="33" t="str">
        <x:v>False</x:v>
      </x:c>
      <x:c r="O322" s="45" t="n">
        <x:v>11</x:v>
      </x:c>
    </x:row>
    <x:row r="323">
      <x:c r="A323" s="33" t="str">
        <x:v>XI</x:v>
      </x:c>
      <x:c r="B323" s="33" t="str">
        <x:v>K40-K46</x:v>
      </x:c>
      <x:c r="C323" s="51" t="str">
        <x:v>Грыжи</x:v>
      </x:c>
      <x:c r="D323" s="33" t="str">
        <x:v>K46</x:v>
      </x:c>
      <x:c r="E323" s="39" t="n">
        <x:v>1</x:v>
      </x:c>
      <x:c r="F323" s="45" t="n">
        <x:v>63</x:v>
      </x:c>
      <x:c r="G323" s="45" t="n">
        <x:v>63</x:v>
      </x:c>
      <x:c r="H323" s="45" t="n">
        <x:v>63</x:v>
      </x:c>
      <x:c r="I323" s="45" t="n">
        <x:v>63</x:v>
      </x:c>
      <x:c r="J323" s="45" t="n">
        <x:v>63</x:v>
      </x:c>
      <x:c r="K323" s="45" t="n">
        <x:v>63</x:v>
      </x:c>
      <x:c r="L323" s="51" t="str">
        <x:v>Брюшная грыжа</x:v>
      </x:c>
      <x:c r="M323" s="45" t="n">
        <x:v>0</x:v>
      </x:c>
      <x:c r="N323" s="33" t="str">
        <x:v>True</x:v>
      </x:c>
      <x:c r="O323" s="45" t="n">
        <x:v>11</x:v>
      </x:c>
    </x:row>
    <x:row r="324">
      <x:c r="A324" s="33" t="str">
        <x:v>XI</x:v>
      </x:c>
      <x:c r="B324" s="33" t="str">
        <x:v>K50-K52</x:v>
      </x:c>
      <x:c r="C324" s="51" t="str">
        <x:v>Неинфекционные энтериты и колиты</x:v>
      </x:c>
      <x:c r="D324" s="33" t="str">
        <x:v>K50</x:v>
      </x:c>
      <x:c r="E324" s="39" t="n">
        <x:v>23</x:v>
      </x:c>
      <x:c r="F324" s="45" t="n">
        <x:v>62</x:v>
      </x:c>
      <x:c r="G324" s="45" t="n">
        <x:v>53</x:v>
      </x:c>
      <x:c r="H324" s="45" t="n">
        <x:v>68</x:v>
      </x:c>
      <x:c r="I324" s="45" t="n">
        <x:v>59.56521739130435</x:v>
      </x:c>
      <x:c r="J324" s="45" t="n">
        <x:v>25</x:v>
      </x:c>
      <x:c r="K324" s="45" t="n">
        <x:v>83</x:v>
      </x:c>
      <x:c r="L324" s="51" t="str">
        <x:v>Болезнь Крона тонкой кишки</x:v>
      </x:c>
      <x:c r="M324" s="45" t="n">
        <x:v>15</x:v>
      </x:c>
      <x:c r="N324" s="33" t="str">
        <x:v>False</x:v>
      </x:c>
      <x:c r="O324" s="45" t="n">
        <x:v>11</x:v>
      </x:c>
    </x:row>
    <x:row r="325">
      <x:c r="A325" s="33" t="str">
        <x:v>XI</x:v>
      </x:c>
      <x:c r="B325" s="33" t="str">
        <x:v>K50-K52</x:v>
      </x:c>
      <x:c r="C325" s="51" t="str">
        <x:v>Неинфекционные энтериты и колиты</x:v>
      </x:c>
      <x:c r="D325" s="33" t="str">
        <x:v>K51</x:v>
      </x:c>
      <x:c r="E325" s="39" t="n">
        <x:v>73</x:v>
      </x:c>
      <x:c r="F325" s="45" t="n">
        <x:v>70</x:v>
      </x:c>
      <x:c r="G325" s="45" t="n">
        <x:v>59</x:v>
      </x:c>
      <x:c r="H325" s="45" t="n">
        <x:v>81</x:v>
      </x:c>
      <x:c r="I325" s="45" t="n">
        <x:v>69.21917808219177</x:v>
      </x:c>
      <x:c r="J325" s="45" t="n">
        <x:v>33</x:v>
      </x:c>
      <x:c r="K325" s="45" t="n">
        <x:v>103</x:v>
      </x:c>
      <x:c r="L325" s="51" t="str">
        <x:v>Другие язвенные колиты</x:v>
      </x:c>
      <x:c r="M325" s="45" t="n">
        <x:v>22</x:v>
      </x:c>
      <x:c r="N325" s="33" t="str">
        <x:v>False</x:v>
      </x:c>
      <x:c r="O325" s="45" t="n">
        <x:v>11</x:v>
      </x:c>
    </x:row>
    <x:row r="326">
      <x:c r="A326" s="33" t="str">
        <x:v>XI</x:v>
      </x:c>
      <x:c r="B326" s="33" t="str">
        <x:v>K50-K52</x:v>
      </x:c>
      <x:c r="C326" s="51" t="str">
        <x:v>Неинфекционные энтериты и колиты</x:v>
      </x:c>
      <x:c r="D326" s="33" t="str">
        <x:v>K52</x:v>
      </x:c>
      <x:c r="E326" s="39" t="n">
        <x:v>37</x:v>
      </x:c>
      <x:c r="F326" s="45" t="n">
        <x:v>71</x:v>
      </x:c>
      <x:c r="G326" s="45" t="n">
        <x:v>65</x:v>
      </x:c>
      <x:c r="H326" s="45" t="n">
        <x:v>81</x:v>
      </x:c>
      <x:c r="I326" s="45" t="n">
        <x:v>71.21621621621621</x:v>
      </x:c>
      <x:c r="J326" s="45" t="n">
        <x:v>42</x:v>
      </x:c>
      <x:c r="K326" s="45" t="n">
        <x:v>92</x:v>
      </x:c>
      <x:c r="L326" s="51" t="str">
        <x:v>Другие уточненные неинфекционные гастроэнтериты и колиты</x:v>
      </x:c>
      <x:c r="M326" s="45" t="n">
        <x:v>16</x:v>
      </x:c>
      <x:c r="N326" s="33" t="str">
        <x:v>False</x:v>
      </x:c>
      <x:c r="O326" s="45" t="n">
        <x:v>11</x:v>
      </x:c>
    </x:row>
    <x:row r="327">
      <x:c r="A327" s="33" t="str">
        <x:v>XI</x:v>
      </x:c>
      <x:c r="B327" s="33" t="str">
        <x:v>K55-K64</x:v>
      </x:c>
      <x:c r="C327" s="51" t="str">
        <x:v>Другие болезни кишечника</x:v>
      </x:c>
      <x:c r="D327" s="33" t="str">
        <x:v>K55</x:v>
      </x:c>
      <x:c r="E327" s="39" t="n">
        <x:v>916</x:v>
      </x:c>
      <x:c r="F327" s="45" t="n">
        <x:v>76.5</x:v>
      </x:c>
      <x:c r="G327" s="45" t="n">
        <x:v>68</x:v>
      </x:c>
      <x:c r="H327" s="45" t="n">
        <x:v>84</x:v>
      </x:c>
      <x:c r="I327" s="45" t="n">
        <x:v>75.5174672489083</x:v>
      </x:c>
      <x:c r="J327" s="45" t="n">
        <x:v>32</x:v>
      </x:c>
      <x:c r="K327" s="45" t="n">
        <x:v>104</x:v>
      </x:c>
      <x:c r="L327" s="51" t="str">
        <x:v>Острые сосудистые болезни кишечника</x:v>
      </x:c>
      <x:c r="M327" s="45" t="n">
        <x:v>16</x:v>
      </x:c>
      <x:c r="N327" s="33" t="str">
        <x:v>False</x:v>
      </x:c>
      <x:c r="O327" s="45" t="n">
        <x:v>11</x:v>
      </x:c>
    </x:row>
    <x:row r="328">
      <x:c r="A328" s="33" t="str">
        <x:v>XI</x:v>
      </x:c>
      <x:c r="B328" s="33" t="str">
        <x:v>K55-K64</x:v>
      </x:c>
      <x:c r="C328" s="51" t="str">
        <x:v>Другие болезни кишечника</x:v>
      </x:c>
      <x:c r="D328" s="33" t="str">
        <x:v>K56</x:v>
      </x:c>
      <x:c r="E328" s="39" t="n">
        <x:v>168</x:v>
      </x:c>
      <x:c r="F328" s="45" t="n">
        <x:v>71</x:v>
      </x:c>
      <x:c r="G328" s="45" t="n">
        <x:v>61.75</x:v>
      </x:c>
      <x:c r="H328" s="45" t="n">
        <x:v>79</x:v>
      </x:c>
      <x:c r="I328" s="45" t="n">
        <x:v>68.75</x:v>
      </x:c>
      <x:c r="J328" s="45" t="n">
        <x:v>4</x:v>
      </x:c>
      <x:c r="K328" s="45" t="n">
        <x:v>96</x:v>
      </x:c>
      <x:c r="L328" s="51" t="str">
        <x:v>Кишечные сращения [спайки] с непроходимостью</x:v>
      </x:c>
      <x:c r="M328" s="45" t="n">
        <x:v>17.25</x:v>
      </x:c>
      <x:c r="N328" s="33" t="str">
        <x:v>False</x:v>
      </x:c>
      <x:c r="O328" s="45" t="n">
        <x:v>11</x:v>
      </x:c>
    </x:row>
    <x:row r="329">
      <x:c r="A329" s="33" t="str">
        <x:v>XI</x:v>
      </x:c>
      <x:c r="B329" s="33" t="str">
        <x:v>K55-K64</x:v>
      </x:c>
      <x:c r="C329" s="51" t="str">
        <x:v>Другие болезни кишечника</x:v>
      </x:c>
      <x:c r="D329" s="33" t="str">
        <x:v>K57</x:v>
      </x:c>
      <x:c r="E329" s="39" t="n">
        <x:v>78</x:v>
      </x:c>
      <x:c r="F329" s="45" t="n">
        <x:v>75.5</x:v>
      </x:c>
      <x:c r="G329" s="45" t="n">
        <x:v>67</x:v>
      </x:c>
      <x:c r="H329" s="45" t="n">
        <x:v>83</x:v>
      </x:c>
      <x:c r="I329" s="45" t="n">
        <x:v>73.46153846153847</x:v>
      </x:c>
      <x:c r="J329" s="45" t="n">
        <x:v>42</x:v>
      </x:c>
      <x:c r="K329" s="45" t="n">
        <x:v>93</x:v>
      </x:c>
      <x:c r="L329" s="51" t="str">
        <x:v>Дивертикулярная болезнь толстой кишки с прободением и абсцессом</x:v>
      </x:c>
      <x:c r="M329" s="45" t="n">
        <x:v>16</x:v>
      </x:c>
      <x:c r="N329" s="33" t="str">
        <x:v>False</x:v>
      </x:c>
      <x:c r="O329" s="45" t="n">
        <x:v>11</x:v>
      </x:c>
    </x:row>
    <x:row r="330">
      <x:c r="A330" s="33" t="str">
        <x:v>XI</x:v>
      </x:c>
      <x:c r="B330" s="33" t="str">
        <x:v>K55-K64</x:v>
      </x:c>
      <x:c r="C330" s="51" t="str">
        <x:v>Другие болезни кишечника</x:v>
      </x:c>
      <x:c r="D330" s="33" t="str">
        <x:v>K59</x:v>
      </x:c>
      <x:c r="E330" s="39" t="n">
        <x:v>1</x:v>
      </x:c>
      <x:c r="F330" s="45" t="n">
        <x:v>72</x:v>
      </x:c>
      <x:c r="G330" s="45" t="n">
        <x:v>72</x:v>
      </x:c>
      <x:c r="H330" s="45" t="n">
        <x:v>72</x:v>
      </x:c>
      <x:c r="I330" s="45" t="n">
        <x:v>72</x:v>
      </x:c>
      <x:c r="J330" s="45" t="n">
        <x:v>72</x:v>
      </x:c>
      <x:c r="K330" s="45" t="n">
        <x:v>72</x:v>
      </x:c>
      <x:c r="L330" s="51" t="str">
        <x:v>Мегаколон</x:v>
      </x:c>
      <x:c r="M330" s="45" t="n">
        <x:v>0</x:v>
      </x:c>
      <x:c r="N330" s="33" t="str">
        <x:v>True</x:v>
      </x:c>
      <x:c r="O330" s="45" t="n">
        <x:v>11</x:v>
      </x:c>
    </x:row>
    <x:row r="331">
      <x:c r="A331" s="33" t="str">
        <x:v>XI</x:v>
      </x:c>
      <x:c r="B331" s="33" t="str">
        <x:v>K55-K64</x:v>
      </x:c>
      <x:c r="C331" s="51" t="str">
        <x:v>Другие болезни кишечника</x:v>
      </x:c>
      <x:c r="D331" s="33" t="str">
        <x:v>K60</x:v>
      </x:c>
      <x:c r="E331" s="39" t="n">
        <x:v>1</x:v>
      </x:c>
      <x:c r="F331" s="45" t="n">
        <x:v>91</x:v>
      </x:c>
      <x:c r="G331" s="45" t="n">
        <x:v>91</x:v>
      </x:c>
      <x:c r="H331" s="45" t="n">
        <x:v>91</x:v>
      </x:c>
      <x:c r="I331" s="45" t="n">
        <x:v>91</x:v>
      </x:c>
      <x:c r="J331" s="45" t="n">
        <x:v>91</x:v>
      </x:c>
      <x:c r="K331" s="45" t="n">
        <x:v>91</x:v>
      </x:c>
      <x:c r="L331" s="51" t="str">
        <x:v>Аноректальный свищ</x:v>
      </x:c>
      <x:c r="M331" s="45" t="n">
        <x:v>0</x:v>
      </x:c>
      <x:c r="N331" s="33" t="str">
        <x:v>True</x:v>
      </x:c>
      <x:c r="O331" s="45" t="n">
        <x:v>11</x:v>
      </x:c>
    </x:row>
    <x:row r="332">
      <x:c r="A332" s="33" t="str">
        <x:v>XI</x:v>
      </x:c>
      <x:c r="B332" s="33" t="str">
        <x:v>K55-K64</x:v>
      </x:c>
      <x:c r="C332" s="51" t="str">
        <x:v>Другие болезни кишечника</x:v>
      </x:c>
      <x:c r="D332" s="33" t="str">
        <x:v>K61</x:v>
      </x:c>
      <x:c r="E332" s="39" t="n">
        <x:v>22</x:v>
      </x:c>
      <x:c r="F332" s="45" t="n">
        <x:v>66.5</x:v>
      </x:c>
      <x:c r="G332" s="45" t="n">
        <x:v>56</x:v>
      </x:c>
      <x:c r="H332" s="45" t="n">
        <x:v>73</x:v>
      </x:c>
      <x:c r="I332" s="45" t="n">
        <x:v>65.54545454545455</x:v>
      </x:c>
      <x:c r="J332" s="45" t="n">
        <x:v>39</x:v>
      </x:c>
      <x:c r="K332" s="45" t="n">
        <x:v>86</x:v>
      </x:c>
      <x:c r="L332" s="51" t="str">
        <x:v>Ишиоректальный абсцесс</x:v>
      </x:c>
      <x:c r="M332" s="45" t="n">
        <x:v>17</x:v>
      </x:c>
      <x:c r="N332" s="33" t="str">
        <x:v>False</x:v>
      </x:c>
      <x:c r="O332" s="45" t="n">
        <x:v>11</x:v>
      </x:c>
    </x:row>
    <x:row r="333">
      <x:c r="A333" s="33" t="str">
        <x:v>XI</x:v>
      </x:c>
      <x:c r="B333" s="33" t="str">
        <x:v>K55-K64</x:v>
      </x:c>
      <x:c r="C333" s="51" t="str">
        <x:v>Другие болезни кишечника</x:v>
      </x:c>
      <x:c r="D333" s="33" t="str">
        <x:v>K62</x:v>
      </x:c>
      <x:c r="E333" s="39" t="n">
        <x:v>1</x:v>
      </x:c>
      <x:c r="F333" s="45" t="n">
        <x:v>70</x:v>
      </x:c>
      <x:c r="G333" s="45" t="n">
        <x:v>70</x:v>
      </x:c>
      <x:c r="H333" s="45" t="n">
        <x:v>70</x:v>
      </x:c>
      <x:c r="I333" s="45" t="n">
        <x:v>70</x:v>
      </x:c>
      <x:c r="J333" s="45" t="n">
        <x:v>70</x:v>
      </x:c>
      <x:c r="K333" s="45" t="n">
        <x:v>70</x:v>
      </x:c>
      <x:c r="L333" s="51" t="str">
        <x:v>Другие болезни прямой кишки</x:v>
      </x:c>
      <x:c r="M333" s="45" t="n">
        <x:v>0</x:v>
      </x:c>
      <x:c r="N333" s="33" t="str">
        <x:v>True</x:v>
      </x:c>
      <x:c r="O333" s="45" t="n">
        <x:v>11</x:v>
      </x:c>
    </x:row>
    <x:row r="334">
      <x:c r="A334" s="33" t="str">
        <x:v>XI</x:v>
      </x:c>
      <x:c r="B334" s="33" t="str">
        <x:v>K55-K64</x:v>
      </x:c>
      <x:c r="C334" s="51" t="str">
        <x:v>Другие болезни кишечника</x:v>
      </x:c>
      <x:c r="D334" s="33" t="str">
        <x:v>K63</x:v>
      </x:c>
      <x:c r="E334" s="39" t="n">
        <x:v>40</x:v>
      </x:c>
      <x:c r="F334" s="45" t="n">
        <x:v>66</x:v>
      </x:c>
      <x:c r="G334" s="45" t="n">
        <x:v>58.5</x:v>
      </x:c>
      <x:c r="H334" s="45" t="n">
        <x:v>74</x:v>
      </x:c>
      <x:c r="I334" s="45" t="n">
        <x:v>65.8</x:v>
      </x:c>
      <x:c r="J334" s="45" t="n">
        <x:v>43</x:v>
      </x:c>
      <x:c r="K334" s="45" t="n">
        <x:v>96</x:v>
      </x:c>
      <x:c r="L334" s="51" t="str">
        <x:v>Прободение кишечника (нетравматическое)</x:v>
      </x:c>
      <x:c r="M334" s="45" t="n">
        <x:v>15.5</x:v>
      </x:c>
      <x:c r="N334" s="33" t="str">
        <x:v>False</x:v>
      </x:c>
      <x:c r="O334" s="45" t="n">
        <x:v>11</x:v>
      </x:c>
    </x:row>
    <x:row r="335">
      <x:c r="A335" s="33" t="str">
        <x:v>XI</x:v>
      </x:c>
      <x:c r="B335" s="33" t="str">
        <x:v>K65-K67</x:v>
      </x:c>
      <x:c r="C335" s="51" t="str">
        <x:v>Болезни брюшины</x:v>
      </x:c>
      <x:c r="D335" s="33" t="str">
        <x:v>K65</x:v>
      </x:c>
      <x:c r="E335" s="39" t="n">
        <x:v>8</x:v>
      </x:c>
      <x:c r="F335" s="45" t="n">
        <x:v>64.5</x:v>
      </x:c>
      <x:c r="G335" s="45" t="n">
        <x:v>50.75</x:v>
      </x:c>
      <x:c r="H335" s="45" t="n">
        <x:v>78</x:v>
      </x:c>
      <x:c r="I335" s="45" t="n">
        <x:v>65.625</x:v>
      </x:c>
      <x:c r="J335" s="45" t="n">
        <x:v>43</x:v>
      </x:c>
      <x:c r="K335" s="45" t="n">
        <x:v>92</x:v>
      </x:c>
      <x:c r="L335" s="51" t="str">
        <x:v>Острый перитонит</x:v>
      </x:c>
      <x:c r="M335" s="45" t="n">
        <x:v>27.25</x:v>
      </x:c>
      <x:c r="N335" s="33" t="str">
        <x:v>False</x:v>
      </x:c>
      <x:c r="O335" s="45" t="n">
        <x:v>11</x:v>
      </x:c>
    </x:row>
    <x:row r="336">
      <x:c r="A336" s="33" t="str">
        <x:v>XI</x:v>
      </x:c>
      <x:c r="B336" s="33" t="str">
        <x:v>K65-K67</x:v>
      </x:c>
      <x:c r="C336" s="51" t="str">
        <x:v>Болезни брюшины</x:v>
      </x:c>
      <x:c r="D336" s="33" t="str">
        <x:v>K66</x:v>
      </x:c>
      <x:c r="E336" s="39" t="n">
        <x:v>33</x:v>
      </x:c>
      <x:c r="F336" s="45" t="n">
        <x:v>73</x:v>
      </x:c>
      <x:c r="G336" s="45" t="n">
        <x:v>65</x:v>
      </x:c>
      <x:c r="H336" s="45" t="n">
        <x:v>84</x:v>
      </x:c>
      <x:c r="I336" s="45" t="n">
        <x:v>73.75757575757575</x:v>
      </x:c>
      <x:c r="J336" s="45" t="n">
        <x:v>44</x:v>
      </x:c>
      <x:c r="K336" s="45" t="n">
        <x:v>92</x:v>
      </x:c>
      <x:c r="L336" s="51" t="str">
        <x:v>Брюшинные спайки</x:v>
      </x:c>
      <x:c r="M336" s="45" t="n">
        <x:v>19</x:v>
      </x:c>
      <x:c r="N336" s="33" t="str">
        <x:v>False</x:v>
      </x:c>
      <x:c r="O336" s="45" t="n">
        <x:v>11</x:v>
      </x:c>
    </x:row>
    <x:row r="337">
      <x:c r="A337" s="33" t="str">
        <x:v>XI</x:v>
      </x:c>
      <x:c r="B337" s="33" t="str">
        <x:v>K70-K77</x:v>
      </x:c>
      <x:c r="C337" s="51" t="str">
        <x:v>Болезни печени</x:v>
      </x:c>
      <x:c r="D337" s="33" t="str">
        <x:v>K70</x:v>
      </x:c>
      <x:c r="E337" s="39" t="n">
        <x:v>351</x:v>
      </x:c>
      <x:c r="F337" s="45" t="n">
        <x:v>54</x:v>
      </x:c>
      <x:c r="G337" s="45" t="n">
        <x:v>46</x:v>
      </x:c>
      <x:c r="H337" s="45" t="n">
        <x:v>62</x:v>
      </x:c>
      <x:c r="I337" s="45" t="n">
        <x:v>53.48717948717949</x:v>
      </x:c>
      <x:c r="J337" s="45" t="n">
        <x:v>29</x:v>
      </x:c>
      <x:c r="K337" s="45" t="n">
        <x:v>79</x:v>
      </x:c>
      <x:c r="L337" s="51" t="str">
        <x:v>Алкогольный цирроз печени</x:v>
      </x:c>
      <x:c r="M337" s="45" t="n">
        <x:v>16</x:v>
      </x:c>
      <x:c r="N337" s="33" t="str">
        <x:v>False</x:v>
      </x:c>
      <x:c r="O337" s="45" t="n">
        <x:v>11</x:v>
      </x:c>
    </x:row>
    <x:row r="338">
      <x:c r="A338" s="33" t="str">
        <x:v>XI</x:v>
      </x:c>
      <x:c r="B338" s="33" t="str">
        <x:v>K70-K77</x:v>
      </x:c>
      <x:c r="C338" s="51" t="str">
        <x:v>Болезни печени</x:v>
      </x:c>
      <x:c r="D338" s="33" t="str">
        <x:v>K71</x:v>
      </x:c>
      <x:c r="E338" s="39" t="n">
        <x:v>120</x:v>
      </x:c>
      <x:c r="F338" s="45" t="n">
        <x:v>55.5</x:v>
      </x:c>
      <x:c r="G338" s="45" t="n">
        <x:v>44</x:v>
      </x:c>
      <x:c r="H338" s="45" t="n">
        <x:v>63</x:v>
      </x:c>
      <x:c r="I338" s="45" t="n">
        <x:v>53.7</x:v>
      </x:c>
      <x:c r="J338" s="45" t="n">
        <x:v>26</x:v>
      </x:c>
      <x:c r="K338" s="45" t="n">
        <x:v>86</x:v>
      </x:c>
      <x:c r="L338" s="51" t="str">
        <x:v>Токсическое поражение печени с печеночным некрозом</x:v>
      </x:c>
      <x:c r="M338" s="45" t="n">
        <x:v>19</x:v>
      </x:c>
      <x:c r="N338" s="33" t="str">
        <x:v>False</x:v>
      </x:c>
      <x:c r="O338" s="45" t="n">
        <x:v>11</x:v>
      </x:c>
    </x:row>
    <x:row r="339">
      <x:c r="A339" s="33" t="str">
        <x:v>XI</x:v>
      </x:c>
      <x:c r="B339" s="33" t="str">
        <x:v>K70-K77</x:v>
      </x:c>
      <x:c r="C339" s="51" t="str">
        <x:v>Болезни печени</x:v>
      </x:c>
      <x:c r="D339" s="33" t="str">
        <x:v>K72</x:v>
      </x:c>
      <x:c r="E339" s="39" t="n">
        <x:v>2</x:v>
      </x:c>
      <x:c r="F339" s="45" t="n">
        <x:v>54.5</x:v>
      </x:c>
      <x:c r="G339" s="45" t="n">
        <x:v>53.25</x:v>
      </x:c>
      <x:c r="H339" s="45" t="n">
        <x:v>55.75</x:v>
      </x:c>
      <x:c r="I339" s="45" t="n">
        <x:v>54.5</x:v>
      </x:c>
      <x:c r="J339" s="45" t="n">
        <x:v>52</x:v>
      </x:c>
      <x:c r="K339" s="45" t="n">
        <x:v>57</x:v>
      </x:c>
      <x:c r="L339" s="51" t="str">
        <x:v>Печеночная недостаточность</x:v>
      </x:c>
      <x:c r="M339" s="45" t="n">
        <x:v>2.5</x:v>
      </x:c>
      <x:c r="N339" s="33" t="str">
        <x:v>True</x:v>
      </x:c>
      <x:c r="O339" s="45" t="n">
        <x:v>11</x:v>
      </x:c>
    </x:row>
    <x:row r="340">
      <x:c r="A340" s="33" t="str">
        <x:v>XI</x:v>
      </x:c>
      <x:c r="B340" s="33" t="str">
        <x:v>K70-K77</x:v>
      </x:c>
      <x:c r="C340" s="51" t="str">
        <x:v>Болезни печени</x:v>
      </x:c>
      <x:c r="D340" s="33" t="str">
        <x:v>K73</x:v>
      </x:c>
      <x:c r="E340" s="39" t="n">
        <x:v>7</x:v>
      </x:c>
      <x:c r="F340" s="45" t="n">
        <x:v>54</x:v>
      </x:c>
      <x:c r="G340" s="45" t="n">
        <x:v>38.5</x:v>
      </x:c>
      <x:c r="H340" s="45" t="n">
        <x:v>68.5</x:v>
      </x:c>
      <x:c r="I340" s="45" t="n">
        <x:v>53.142857142857146</x:v>
      </x:c>
      <x:c r="J340" s="45" t="n">
        <x:v>27</x:v>
      </x:c>
      <x:c r="K340" s="45" t="n">
        <x:v>77</x:v>
      </x:c>
      <x:c r="L340" s="51" t="str">
        <x:v>Хронический гепатит неуточненный</x:v>
      </x:c>
      <x:c r="M340" s="45" t="n">
        <x:v>30</x:v>
      </x:c>
      <x:c r="N340" s="33" t="str">
        <x:v>False</x:v>
      </x:c>
      <x:c r="O340" s="45" t="n">
        <x:v>11</x:v>
      </x:c>
    </x:row>
    <x:row r="341">
      <x:c r="A341" s="33" t="str">
        <x:v>XI</x:v>
      </x:c>
      <x:c r="B341" s="33" t="str">
        <x:v>K70-K77</x:v>
      </x:c>
      <x:c r="C341" s="51" t="str">
        <x:v>Болезни печени</x:v>
      </x:c>
      <x:c r="D341" s="33" t="str">
        <x:v>K74</x:v>
      </x:c>
      <x:c r="E341" s="39" t="n">
        <x:v>2254</x:v>
      </x:c>
      <x:c r="F341" s="45" t="n">
        <x:v>57</x:v>
      </x:c>
      <x:c r="G341" s="45" t="n">
        <x:v>48</x:v>
      </x:c>
      <x:c r="H341" s="45" t="n">
        <x:v>65</x:v>
      </x:c>
      <x:c r="I341" s="45" t="n">
        <x:v>56.879325643300795</x:v>
      </x:c>
      <x:c r="J341" s="45" t="n">
        <x:v>21</x:v>
      </x:c>
      <x:c r="K341" s="45" t="n">
        <x:v>95</x:v>
      </x:c>
      <x:c r="L341" s="51" t="str">
        <x:v>Другой и неуточненный цирроз печени</x:v>
      </x:c>
      <x:c r="M341" s="45" t="n">
        <x:v>17</x:v>
      </x:c>
      <x:c r="N341" s="33" t="str">
        <x:v>False</x:v>
      </x:c>
      <x:c r="O341" s="45" t="n">
        <x:v>11</x:v>
      </x:c>
    </x:row>
    <x:row r="342">
      <x:c r="A342" s="33" t="str">
        <x:v>XI</x:v>
      </x:c>
      <x:c r="B342" s="33" t="str">
        <x:v>K70-K77</x:v>
      </x:c>
      <x:c r="C342" s="51" t="str">
        <x:v>Болезни печени</x:v>
      </x:c>
      <x:c r="D342" s="33" t="str">
        <x:v>K75</x:v>
      </x:c>
      <x:c r="E342" s="39" t="n">
        <x:v>28</x:v>
      </x:c>
      <x:c r="F342" s="45" t="n">
        <x:v>69.5</x:v>
      </x:c>
      <x:c r="G342" s="45" t="n">
        <x:v>62.5</x:v>
      </x:c>
      <x:c r="H342" s="45" t="n">
        <x:v>79.5</x:v>
      </x:c>
      <x:c r="I342" s="45" t="n">
        <x:v>68.60714285714286</x:v>
      </x:c>
      <x:c r="J342" s="45" t="n">
        <x:v>39</x:v>
      </x:c>
      <x:c r="K342" s="45" t="n">
        <x:v>88</x:v>
      </x:c>
      <x:c r="L342" s="51" t="str">
        <x:v>Абсцесс печени</x:v>
      </x:c>
      <x:c r="M342" s="45" t="n">
        <x:v>17</x:v>
      </x:c>
      <x:c r="N342" s="33" t="str">
        <x:v>False</x:v>
      </x:c>
      <x:c r="O342" s="45" t="n">
        <x:v>11</x:v>
      </x:c>
    </x:row>
    <x:row r="343">
      <x:c r="A343" s="33" t="str">
        <x:v>XI</x:v>
      </x:c>
      <x:c r="B343" s="33" t="str">
        <x:v>K70-K77</x:v>
      </x:c>
      <x:c r="C343" s="51" t="str">
        <x:v>Болезни печени</x:v>
      </x:c>
      <x:c r="D343" s="33" t="str">
        <x:v>K76</x:v>
      </x:c>
      <x:c r="E343" s="39" t="n">
        <x:v>337</x:v>
      </x:c>
      <x:c r="F343" s="45" t="n">
        <x:v>54</x:v>
      </x:c>
      <x:c r="G343" s="45" t="n">
        <x:v>44</x:v>
      </x:c>
      <x:c r="H343" s="45" t="n">
        <x:v>62</x:v>
      </x:c>
      <x:c r="I343" s="45" t="n">
        <x:v>53.982195845697326</x:v>
      </x:c>
      <x:c r="J343" s="45" t="n">
        <x:v>28</x:v>
      </x:c>
      <x:c r="K343" s="45" t="n">
        <x:v>94</x:v>
      </x:c>
      <x:c r="L343" s="51" t="str">
        <x:v>Жировая дегенерация печени, не классифицированная в других рубриках</x:v>
      </x:c>
      <x:c r="M343" s="45" t="n">
        <x:v>18</x:v>
      </x:c>
      <x:c r="N343" s="33" t="str">
        <x:v>False</x:v>
      </x:c>
      <x:c r="O343" s="45" t="n">
        <x:v>11</x:v>
      </x:c>
    </x:row>
    <x:row r="344">
      <x:c r="A344" s="33" t="str">
        <x:v>XI</x:v>
      </x:c>
      <x:c r="B344" s="33" t="str">
        <x:v>K80-K87</x:v>
      </x:c>
      <x:c r="C344" s="51" t="str">
        <x:v>Болезни желчного пузыря, желчевыводящих путей и поджелудочной железы</x:v>
      </x:c>
      <x:c r="D344" s="33" t="str">
        <x:v>K80</x:v>
      </x:c>
      <x:c r="E344" s="39" t="n">
        <x:v>193</x:v>
      </x:c>
      <x:c r="F344" s="45" t="n">
        <x:v>77</x:v>
      </x:c>
      <x:c r="G344" s="45" t="n">
        <x:v>69</x:v>
      </x:c>
      <x:c r="H344" s="45" t="n">
        <x:v>84</x:v>
      </x:c>
      <x:c r="I344" s="45" t="n">
        <x:v>76.03108808290155</x:v>
      </x:c>
      <x:c r="J344" s="45" t="n">
        <x:v>38</x:v>
      </x:c>
      <x:c r="K344" s="45" t="n">
        <x:v>94</x:v>
      </x:c>
      <x:c r="L344" s="51" t="str">
        <x:v>Камни желчного пузыря с острым холециститом</x:v>
      </x:c>
      <x:c r="M344" s="45" t="n">
        <x:v>15</x:v>
      </x:c>
      <x:c r="N344" s="33" t="str">
        <x:v>False</x:v>
      </x:c>
      <x:c r="O344" s="45" t="n">
        <x:v>11</x:v>
      </x:c>
    </x:row>
    <x:row r="345">
      <x:c r="A345" s="33" t="str">
        <x:v>XI</x:v>
      </x:c>
      <x:c r="B345" s="33" t="str">
        <x:v>K80-K87</x:v>
      </x:c>
      <x:c r="C345" s="51" t="str">
        <x:v>Болезни желчного пузыря, желчевыводящих путей и поджелудочной железы</x:v>
      </x:c>
      <x:c r="D345" s="33" t="str">
        <x:v>K81</x:v>
      </x:c>
      <x:c r="E345" s="39" t="n">
        <x:v>56</x:v>
      </x:c>
      <x:c r="F345" s="45" t="n">
        <x:v>75</x:v>
      </x:c>
      <x:c r="G345" s="45" t="n">
        <x:v>67</x:v>
      </x:c>
      <x:c r="H345" s="45" t="n">
        <x:v>84.25</x:v>
      </x:c>
      <x:c r="I345" s="45" t="n">
        <x:v>73.69642857142857</x:v>
      </x:c>
      <x:c r="J345" s="45" t="n">
        <x:v>21</x:v>
      </x:c>
      <x:c r="K345" s="45" t="n">
        <x:v>94</x:v>
      </x:c>
      <x:c r="L345" s="51" t="str">
        <x:v>Острый холецистит</x:v>
      </x:c>
      <x:c r="M345" s="45" t="n">
        <x:v>17.25</x:v>
      </x:c>
      <x:c r="N345" s="33" t="str">
        <x:v>False</x:v>
      </x:c>
      <x:c r="O345" s="45" t="n">
        <x:v>11</x:v>
      </x:c>
    </x:row>
    <x:row r="346">
      <x:c r="A346" s="33" t="str">
        <x:v>XI</x:v>
      </x:c>
      <x:c r="B346" s="33" t="str">
        <x:v>K80-K87</x:v>
      </x:c>
      <x:c r="C346" s="51" t="str">
        <x:v>Болезни желчного пузыря, желчевыводящих путей и поджелудочной железы</x:v>
      </x:c>
      <x:c r="D346" s="33" t="str">
        <x:v>K82</x:v>
      </x:c>
      <x:c r="E346" s="39" t="n">
        <x:v>10</x:v>
      </x:c>
      <x:c r="F346" s="45" t="n">
        <x:v>74.5</x:v>
      </x:c>
      <x:c r="G346" s="45" t="n">
        <x:v>60.5</x:v>
      </x:c>
      <x:c r="H346" s="45" t="n">
        <x:v>79</x:v>
      </x:c>
      <x:c r="I346" s="45" t="n">
        <x:v>71.5</x:v>
      </x:c>
      <x:c r="J346" s="45" t="n">
        <x:v>56</x:v>
      </x:c>
      <x:c r="K346" s="45" t="n">
        <x:v>89</x:v>
      </x:c>
      <x:c r="L346" s="51" t="str">
        <x:v>Дивертикул желчного пузыря</x:v>
      </x:c>
      <x:c r="M346" s="45" t="n">
        <x:v>18.5</x:v>
      </x:c>
      <x:c r="N346" s="33" t="str">
        <x:v>False</x:v>
      </x:c>
      <x:c r="O346" s="45" t="n">
        <x:v>11</x:v>
      </x:c>
    </x:row>
    <x:row r="347">
      <x:c r="A347" s="33" t="str">
        <x:v>XI</x:v>
      </x:c>
      <x:c r="B347" s="33" t="str">
        <x:v>K80-K87</x:v>
      </x:c>
      <x:c r="C347" s="51" t="str">
        <x:v>Болезни желчного пузыря, желчевыводящих путей и поджелудочной железы</x:v>
      </x:c>
      <x:c r="D347" s="33" t="str">
        <x:v>K83</x:v>
      </x:c>
      <x:c r="E347" s="39" t="n">
        <x:v>19</x:v>
      </x:c>
      <x:c r="F347" s="45" t="n">
        <x:v>69</x:v>
      </x:c>
      <x:c r="G347" s="45" t="n">
        <x:v>62</x:v>
      </x:c>
      <x:c r="H347" s="45" t="n">
        <x:v>87.5</x:v>
      </x:c>
      <x:c r="I347" s="45" t="n">
        <x:v>71.84210526315789</x:v>
      </x:c>
      <x:c r="J347" s="45" t="n">
        <x:v>38</x:v>
      </x:c>
      <x:c r="K347" s="45" t="n">
        <x:v>92</x:v>
      </x:c>
      <x:c r="L347" s="51" t="str">
        <x:v>Холангит</x:v>
      </x:c>
      <x:c r="M347" s="45" t="n">
        <x:v>25.5</x:v>
      </x:c>
      <x:c r="N347" s="33" t="str">
        <x:v>False</x:v>
      </x:c>
      <x:c r="O347" s="45" t="n">
        <x:v>11</x:v>
      </x:c>
    </x:row>
    <x:row r="348">
      <x:c r="A348" s="33" t="str">
        <x:v>XI</x:v>
      </x:c>
      <x:c r="B348" s="33" t="str">
        <x:v>K80-K87</x:v>
      </x:c>
      <x:c r="C348" s="51" t="str">
        <x:v>Болезни желчного пузыря, желчевыводящих путей и поджелудочной железы</x:v>
      </x:c>
      <x:c r="D348" s="33" t="str">
        <x:v>K85</x:v>
      </x:c>
      <x:c r="E348" s="39" t="n">
        <x:v>983</x:v>
      </x:c>
      <x:c r="F348" s="45" t="n">
        <x:v>60</x:v>
      </x:c>
      <x:c r="G348" s="45" t="n">
        <x:v>49</x:v>
      </x:c>
      <x:c r="H348" s="45" t="n">
        <x:v>68</x:v>
      </x:c>
      <x:c r="I348" s="45" t="n">
        <x:v>58.7822990844354</x:v>
      </x:c>
      <x:c r="J348" s="45" t="n">
        <x:v>23</x:v>
      </x:c>
      <x:c r="K348" s="45" t="n">
        <x:v>97</x:v>
      </x:c>
      <x:c r="L348" s="51" t="str">
        <x:v>Другой острый панкреатит</x:v>
      </x:c>
      <x:c r="M348" s="45" t="n">
        <x:v>19</x:v>
      </x:c>
      <x:c r="N348" s="33" t="str">
        <x:v>False</x:v>
      </x:c>
      <x:c r="O348" s="45" t="n">
        <x:v>11</x:v>
      </x:c>
    </x:row>
    <x:row r="349">
      <x:c r="A349" s="33" t="str">
        <x:v>XI</x:v>
      </x:c>
      <x:c r="B349" s="33" t="str">
        <x:v>K80-K87</x:v>
      </x:c>
      <x:c r="C349" s="51" t="str">
        <x:v>Болезни желчного пузыря, желчевыводящих путей и поджелудочной железы</x:v>
      </x:c>
      <x:c r="D349" s="33" t="str">
        <x:v>K86</x:v>
      </x:c>
      <x:c r="E349" s="39" t="n">
        <x:v>292</x:v>
      </x:c>
      <x:c r="F349" s="45" t="n">
        <x:v>58</x:v>
      </x:c>
      <x:c r="G349" s="45" t="n">
        <x:v>47</x:v>
      </x:c>
      <x:c r="H349" s="45" t="n">
        <x:v>68</x:v>
      </x:c>
      <x:c r="I349" s="45" t="n">
        <x:v>57.88013698630137</x:v>
      </x:c>
      <x:c r="J349" s="45" t="n">
        <x:v>17</x:v>
      </x:c>
      <x:c r="K349" s="45" t="n">
        <x:v>93</x:v>
      </x:c>
      <x:c r="L349" s="51" t="str">
        <x:v>Другие уточненные болезни поджелудочной железы</x:v>
      </x:c>
      <x:c r="M349" s="45" t="n">
        <x:v>21</x:v>
      </x:c>
      <x:c r="N349" s="33" t="str">
        <x:v>False</x:v>
      </x:c>
      <x:c r="O349" s="45" t="n">
        <x:v>11</x:v>
      </x:c>
    </x:row>
    <x:row r="350">
      <x:c r="A350" s="33" t="str">
        <x:v>XI</x:v>
      </x:c>
      <x:c r="B350" s="33" t="str">
        <x:v>K90-K93</x:v>
      </x:c>
      <x:c r="C350" s="51" t="str">
        <x:v>Другие болезни органов пищеварения</x:v>
      </x:c>
      <x:c r="D350" s="33" t="str">
        <x:v>K92</x:v>
      </x:c>
      <x:c r="E350" s="39" t="n">
        <x:v>6</x:v>
      </x:c>
      <x:c r="F350" s="45" t="n">
        <x:v>60.5</x:v>
      </x:c>
      <x:c r="G350" s="45" t="n">
        <x:v>53.25</x:v>
      </x:c>
      <x:c r="H350" s="45" t="n">
        <x:v>68.5</x:v>
      </x:c>
      <x:c r="I350" s="45" t="n">
        <x:v>58.333333333333336</x:v>
      </x:c>
      <x:c r="J350" s="45" t="n">
        <x:v>34</x:v>
      </x:c>
      <x:c r="K350" s="45" t="n">
        <x:v>73</x:v>
      </x:c>
      <x:c r="L350" s="51" t="str">
        <x:v>Желудочно-кишечное кровотечение неуточненное</x:v>
      </x:c>
      <x:c r="M350" s="45" t="n">
        <x:v>15.25</x:v>
      </x:c>
      <x:c r="N350" s="33" t="str">
        <x:v>False</x:v>
      </x:c>
      <x:c r="O350" s="45" t="n">
        <x:v>11</x:v>
      </x:c>
    </x:row>
    <x:row r="351">
      <x:c r="A351" s="33" t="str">
        <x:v>XII</x:v>
      </x:c>
      <x:c r="B351" s="33" t="str">
        <x:v>L00-L08</x:v>
      </x:c>
      <x:c r="C351" s="51" t="str">
        <x:v>Инфекции кожи и подкожной клетчатки</x:v>
      </x:c>
      <x:c r="D351" s="33" t="str">
        <x:v>L02</x:v>
      </x:c>
      <x:c r="E351" s="39" t="n">
        <x:v>27</x:v>
      </x:c>
      <x:c r="F351" s="45" t="n">
        <x:v>62</x:v>
      </x:c>
      <x:c r="G351" s="45" t="n">
        <x:v>47.5</x:v>
      </x:c>
      <x:c r="H351" s="45" t="n">
        <x:v>71.5</x:v>
      </x:c>
      <x:c r="I351" s="45" t="n">
        <x:v>59.925925925925924</x:v>
      </x:c>
      <x:c r="J351" s="45" t="n">
        <x:v>25</x:v>
      </x:c>
      <x:c r="K351" s="45" t="n">
        <x:v>84</x:v>
      </x:c>
      <x:c r="L351" s="51" t="str">
        <x:v>Абсцесс кожи, фурункул и карбункул туловища</x:v>
      </x:c>
      <x:c r="M351" s="45" t="n">
        <x:v>24</x:v>
      </x:c>
      <x:c r="N351" s="33" t="str">
        <x:v>False</x:v>
      </x:c>
      <x:c r="O351" s="45" t="n">
        <x:v>12</x:v>
      </x:c>
    </x:row>
    <x:row r="352">
      <x:c r="A352" s="33" t="str">
        <x:v>XII</x:v>
      </x:c>
      <x:c r="B352" s="33" t="str">
        <x:v>L00-L08</x:v>
      </x:c>
      <x:c r="C352" s="51" t="str">
        <x:v>Инфекции кожи и подкожной клетчатки</x:v>
      </x:c>
      <x:c r="D352" s="33" t="str">
        <x:v>L03</x:v>
      </x:c>
      <x:c r="E352" s="39" t="n">
        <x:v>97</x:v>
      </x:c>
      <x:c r="F352" s="45" t="n">
        <x:v>67</x:v>
      </x:c>
      <x:c r="G352" s="45" t="n">
        <x:v>54</x:v>
      </x:c>
      <x:c r="H352" s="45" t="n">
        <x:v>74</x:v>
      </x:c>
      <x:c r="I352" s="45" t="n">
        <x:v>64.75257731958763</x:v>
      </x:c>
      <x:c r="J352" s="45" t="n">
        <x:v>30</x:v>
      </x:c>
      <x:c r="K352" s="45" t="n">
        <x:v>96</x:v>
      </x:c>
      <x:c r="L352" s="51" t="str">
        <x:v>Флегмона других отделов конечностей</x:v>
      </x:c>
      <x:c r="M352" s="45" t="n">
        <x:v>20</x:v>
      </x:c>
      <x:c r="N352" s="33" t="str">
        <x:v>False</x:v>
      </x:c>
      <x:c r="O352" s="45" t="n">
        <x:v>12</x:v>
      </x:c>
    </x:row>
    <x:row r="353">
      <x:c r="A353" s="33" t="str">
        <x:v>XII</x:v>
      </x:c>
      <x:c r="B353" s="33" t="str">
        <x:v>L00-L08</x:v>
      </x:c>
      <x:c r="C353" s="51" t="str">
        <x:v>Инфекции кожи и подкожной клетчатки</x:v>
      </x:c>
      <x:c r="D353" s="33" t="str">
        <x:v>L05</x:v>
      </x:c>
      <x:c r="E353" s="39" t="n">
        <x:v>1</x:v>
      </x:c>
      <x:c r="F353" s="45" t="n">
        <x:v>55</x:v>
      </x:c>
      <x:c r="G353" s="45" t="n">
        <x:v>55</x:v>
      </x:c>
      <x:c r="H353" s="45" t="n">
        <x:v>55</x:v>
      </x:c>
      <x:c r="I353" s="45" t="n">
        <x:v>55</x:v>
      </x:c>
      <x:c r="J353" s="45" t="n">
        <x:v>55</x:v>
      </x:c>
      <x:c r="K353" s="45" t="n">
        <x:v>55</x:v>
      </x:c>
      <x:c r="L353" s="51" t="str">
        <x:v>Пилонидальная киста с абсцессом</x:v>
      </x:c>
      <x:c r="M353" s="45" t="n">
        <x:v>0</x:v>
      </x:c>
      <x:c r="N353" s="33" t="str">
        <x:v>True</x:v>
      </x:c>
      <x:c r="O353" s="45" t="n">
        <x:v>12</x:v>
      </x:c>
    </x:row>
    <x:row r="354">
      <x:c r="A354" s="33" t="str">
        <x:v>XII</x:v>
      </x:c>
      <x:c r="B354" s="33" t="str">
        <x:v>L00-L08</x:v>
      </x:c>
      <x:c r="C354" s="51" t="str">
        <x:v>Инфекции кожи и подкожной клетчатки</x:v>
      </x:c>
      <x:c r="D354" s="33" t="str">
        <x:v>L08</x:v>
      </x:c>
      <x:c r="E354" s="39" t="n">
        <x:v>1</x:v>
      </x:c>
      <x:c r="F354" s="45" t="n">
        <x:v>71</x:v>
      </x:c>
      <x:c r="G354" s="45" t="n">
        <x:v>71</x:v>
      </x:c>
      <x:c r="H354" s="45" t="n">
        <x:v>71</x:v>
      </x:c>
      <x:c r="I354" s="45" t="n">
        <x:v>71</x:v>
      </x:c>
      <x:c r="J354" s="45" t="n">
        <x:v>71</x:v>
      </x:c>
      <x:c r="K354" s="45" t="n">
        <x:v>71</x:v>
      </x:c>
      <x:c r="L354" s="51" t="str">
        <x:v>Другие местные инфекции кожи</x:v>
      </x:c>
      <x:c r="M354" s="45" t="n">
        <x:v>0</x:v>
      </x:c>
      <x:c r="N354" s="33" t="str">
        <x:v>True</x:v>
      </x:c>
      <x:c r="O354" s="45" t="n">
        <x:v>12</x:v>
      </x:c>
    </x:row>
    <x:row r="355">
      <x:c r="A355" s="33" t="str">
        <x:v>XII</x:v>
      </x:c>
      <x:c r="B355" s="33" t="str">
        <x:v>L40-L45</x:v>
      </x:c>
      <x:c r="C355" s="51" t="str">
        <x:v>Папулосквамозные нарушения</x:v>
      </x:c>
      <x:c r="D355" s="33" t="str">
        <x:v>L40</x:v>
      </x:c>
      <x:c r="E355" s="39" t="n">
        <x:v>2</x:v>
      </x:c>
      <x:c r="F355" s="45" t="n">
        <x:v>49</x:v>
      </x:c>
      <x:c r="G355" s="45" t="n">
        <x:v>48</x:v>
      </x:c>
      <x:c r="H355" s="45" t="n">
        <x:v>50</x:v>
      </x:c>
      <x:c r="I355" s="45" t="n">
        <x:v>49</x:v>
      </x:c>
      <x:c r="J355" s="45" t="n">
        <x:v>47</x:v>
      </x:c>
      <x:c r="K355" s="45" t="n">
        <x:v>51</x:v>
      </x:c>
      <x:c r="L355" s="51" t="str">
        <x:v>Пустулезный псориаз</x:v>
      </x:c>
      <x:c r="M355" s="45" t="n">
        <x:v>2</x:v>
      </x:c>
      <x:c r="N355" s="33" t="str">
        <x:v>True</x:v>
      </x:c>
      <x:c r="O355" s="45" t="n">
        <x:v>12</x:v>
      </x:c>
    </x:row>
    <x:row r="356">
      <x:c r="A356" s="33" t="str">
        <x:v>XII</x:v>
      </x:c>
      <x:c r="B356" s="33" t="str">
        <x:v>L50-L54</x:v>
      </x:c>
      <x:c r="C356" s="51" t="str">
        <x:v>Крапивница и эритема</x:v>
      </x:c>
      <x:c r="D356" s="33" t="str">
        <x:v>L51</x:v>
      </x:c>
      <x:c r="E356" s="39" t="n">
        <x:v>4</x:v>
      </x:c>
      <x:c r="F356" s="45" t="n">
        <x:v>58</x:v>
      </x:c>
      <x:c r="G356" s="45" t="n">
        <x:v>53.75</x:v>
      </x:c>
      <x:c r="H356" s="45" t="n">
        <x:v>69</x:v>
      </x:c>
      <x:c r="I356" s="45" t="n">
        <x:v>64.75</x:v>
      </x:c>
      <x:c r="J356" s="45" t="n">
        <x:v>53</x:v>
      </x:c>
      <x:c r="K356" s="45" t="n">
        <x:v>90</x:v>
      </x:c>
      <x:c r="L356" s="51" t="str">
        <x:v>Токсический эпидермальный некролиз [Лайелла]</x:v>
      </x:c>
      <x:c r="M356" s="45" t="n">
        <x:v>15.25</x:v>
      </x:c>
      <x:c r="N356" s="33" t="str">
        <x:v>True</x:v>
      </x:c>
      <x:c r="O356" s="45" t="n">
        <x:v>12</x:v>
      </x:c>
    </x:row>
    <x:row r="357">
      <x:c r="A357" s="33" t="str">
        <x:v>XII</x:v>
      </x:c>
      <x:c r="B357" s="33" t="str">
        <x:v>L60-L75</x:v>
      </x:c>
      <x:c r="C357" s="51" t="str">
        <x:v>Болезни придатков кожи</x:v>
      </x:c>
      <x:c r="D357" s="33" t="str">
        <x:v>L73</x:v>
      </x:c>
      <x:c r="E357" s="39" t="n">
        <x:v>1</x:v>
      </x:c>
      <x:c r="F357" s="45" t="n">
        <x:v>14</x:v>
      </x:c>
      <x:c r="G357" s="45" t="n">
        <x:v>14</x:v>
      </x:c>
      <x:c r="H357" s="45" t="n">
        <x:v>14</x:v>
      </x:c>
      <x:c r="I357" s="45" t="n">
        <x:v>14</x:v>
      </x:c>
      <x:c r="J357" s="45" t="n">
        <x:v>14</x:v>
      </x:c>
      <x:c r="K357" s="45" t="n">
        <x:v>14</x:v>
      </x:c>
      <x:c r="L357" s="51" t="str">
        <x:v>Фолликулит</x:v>
      </x:c>
      <x:c r="M357" s="45" t="n">
        <x:v>0</x:v>
      </x:c>
      <x:c r="N357" s="33" t="str">
        <x:v>True</x:v>
      </x:c>
      <x:c r="O357" s="45" t="n">
        <x:v>12</x:v>
      </x:c>
    </x:row>
    <x:row r="358">
      <x:c r="A358" s="33" t="str">
        <x:v>XII</x:v>
      </x:c>
      <x:c r="B358" s="33" t="str">
        <x:v>L80-L99</x:v>
      </x:c>
      <x:c r="C358" s="51" t="str">
        <x:v>Другие болезни кожи и подкожной клетчатки</x:v>
      </x:c>
      <x:c r="D358" s="33" t="str">
        <x:v>L88</x:v>
      </x:c>
      <x:c r="E358" s="39" t="n">
        <x:v>1</x:v>
      </x:c>
      <x:c r="F358" s="45" t="n">
        <x:v>79</x:v>
      </x:c>
      <x:c r="G358" s="45" t="n">
        <x:v>79</x:v>
      </x:c>
      <x:c r="H358" s="45" t="n">
        <x:v>79</x:v>
      </x:c>
      <x:c r="I358" s="45" t="n">
        <x:v>79</x:v>
      </x:c>
      <x:c r="J358" s="45" t="n">
        <x:v>79</x:v>
      </x:c>
      <x:c r="K358" s="45" t="n">
        <x:v>79</x:v>
      </x:c>
      <x:c r="L358" s="51" t="str">
        <x:v>Пиодермия гангренозная</x:v>
      </x:c>
      <x:c r="M358" s="45" t="n">
        <x:v>0</x:v>
      </x:c>
      <x:c r="N358" s="33" t="str">
        <x:v>True</x:v>
      </x:c>
      <x:c r="O358" s="45" t="n">
        <x:v>12</x:v>
      </x:c>
    </x:row>
    <x:row r="359">
      <x:c r="A359" s="33" t="str">
        <x:v>XII</x:v>
      </x:c>
      <x:c r="B359" s="33" t="str">
        <x:v>L80-L99</x:v>
      </x:c>
      <x:c r="C359" s="51" t="str">
        <x:v>Другие болезни кожи и подкожной клетчатки</x:v>
      </x:c>
      <x:c r="D359" s="33" t="str">
        <x:v>L89</x:v>
      </x:c>
      <x:c r="E359" s="39" t="n">
        <x:v>9</x:v>
      </x:c>
      <x:c r="F359" s="45" t="n">
        <x:v>77</x:v>
      </x:c>
      <x:c r="G359" s="45" t="n">
        <x:v>77</x:v>
      </x:c>
      <x:c r="H359" s="45" t="n">
        <x:v>86</x:v>
      </x:c>
      <x:c r="I359" s="45" t="n">
        <x:v>80.88888888888889</x:v>
      </x:c>
      <x:c r="J359" s="45" t="n">
        <x:v>71</x:v>
      </x:c>
      <x:c r="K359" s="45" t="n">
        <x:v>96</x:v>
      </x:c>
      <x:c r="L359" s="51" t="str">
        <x:v>Стадия IV декубитальной язвы</x:v>
      </x:c>
      <x:c r="M359" s="45" t="n">
        <x:v>9</x:v>
      </x:c>
      <x:c r="N359" s="33" t="str">
        <x:v>False</x:v>
      </x:c>
      <x:c r="O359" s="45" t="n">
        <x:v>12</x:v>
      </x:c>
    </x:row>
    <x:row r="360">
      <x:c r="A360" s="33" t="str">
        <x:v>XII</x:v>
      </x:c>
      <x:c r="B360" s="33" t="str">
        <x:v>L80-L99</x:v>
      </x:c>
      <x:c r="C360" s="51" t="str">
        <x:v>Другие болезни кожи и подкожной клетчатки</x:v>
      </x:c>
      <x:c r="D360" s="33" t="str">
        <x:v>L97</x:v>
      </x:c>
      <x:c r="E360" s="39" t="n">
        <x:v>8</x:v>
      </x:c>
      <x:c r="F360" s="45" t="n">
        <x:v>72.5</x:v>
      </x:c>
      <x:c r="G360" s="45" t="n">
        <x:v>59</x:v>
      </x:c>
      <x:c r="H360" s="45" t="n">
        <x:v>78.5</x:v>
      </x:c>
      <x:c r="I360" s="45" t="n">
        <x:v>66.875</x:v>
      </x:c>
      <x:c r="J360" s="45" t="n">
        <x:v>31</x:v>
      </x:c>
      <x:c r="K360" s="45" t="n">
        <x:v>91</x:v>
      </x:c>
      <x:c r="L360" s="51" t="str">
        <x:v>Язва нижней конечности</x:v>
      </x:c>
      <x:c r="M360" s="45" t="n">
        <x:v>19.5</x:v>
      </x:c>
      <x:c r="N360" s="33" t="str">
        <x:v>False</x:v>
      </x:c>
      <x:c r="O360" s="45" t="n">
        <x:v>12</x:v>
      </x:c>
    </x:row>
    <x:row r="361">
      <x:c r="A361" s="33" t="str">
        <x:v>XII</x:v>
      </x:c>
      <x:c r="B361" s="33" t="str">
        <x:v>L80-L99</x:v>
      </x:c>
      <x:c r="C361" s="51" t="str">
        <x:v>Другие болезни кожи и подкожной клетчатки</x:v>
      </x:c>
      <x:c r="D361" s="33" t="str">
        <x:v>L98</x:v>
      </x:c>
      <x:c r="E361" s="39" t="n">
        <x:v>3</x:v>
      </x:c>
      <x:c r="F361" s="45" t="n">
        <x:v>75</x:v>
      </x:c>
      <x:c r="G361" s="45" t="n">
        <x:v>73</x:v>
      </x:c>
      <x:c r="H361" s="45" t="n">
        <x:v>75.5</x:v>
      </x:c>
      <x:c r="I361" s="45" t="n">
        <x:v>74</x:v>
      </x:c>
      <x:c r="J361" s="45" t="n">
        <x:v>71</x:v>
      </x:c>
      <x:c r="K361" s="45" t="n">
        <x:v>76</x:v>
      </x:c>
      <x:c r="L361" s="51" t="str">
        <x:v>Хроническая язва кожи</x:v>
      </x:c>
      <x:c r="M361" s="45" t="n">
        <x:v>2.5</x:v>
      </x:c>
      <x:c r="N361" s="33" t="str">
        <x:v>True</x:v>
      </x:c>
      <x:c r="O361" s="45" t="n">
        <x:v>12</x:v>
      </x:c>
    </x:row>
    <x:row r="362">
      <x:c r="A362" s="33" t="str">
        <x:v>XIII</x:v>
      </x:c>
      <x:c r="B362" s="33" t="str">
        <x:v>M00-M25</x:v>
      </x:c>
      <x:c r="C362" s="51" t="str">
        <x:v>Артропатии</x:v>
      </x:c>
      <x:c r="D362" s="33" t="str">
        <x:v>M00</x:v>
      </x:c>
      <x:c r="E362" s="39" t="n">
        <x:v>4</x:v>
      </x:c>
      <x:c r="F362" s="45" t="n">
        <x:v>76.5</x:v>
      </x:c>
      <x:c r="G362" s="45" t="n">
        <x:v>60</x:v>
      </x:c>
      <x:c r="H362" s="45" t="n">
        <x:v>81.25</x:v>
      </x:c>
      <x:c r="I362" s="45" t="n">
        <x:v>64.75</x:v>
      </x:c>
      <x:c r="J362" s="45" t="n">
        <x:v>24</x:v>
      </x:c>
      <x:c r="K362" s="45" t="n">
        <x:v>82</x:v>
      </x:c>
      <x:c r="L362" s="51" t="str">
        <x:v>Артриты и полиартриты, вызванные другими уточненными бактериальными возбудителями</x:v>
      </x:c>
      <x:c r="M362" s="45" t="n">
        <x:v>21.25</x:v>
      </x:c>
      <x:c r="N362" s="33" t="str">
        <x:v>True</x:v>
      </x:c>
      <x:c r="O362" s="45" t="n">
        <x:v>13</x:v>
      </x:c>
    </x:row>
    <x:row r="363">
      <x:c r="A363" s="33" t="str">
        <x:v>XIII</x:v>
      </x:c>
      <x:c r="B363" s="33" t="str">
        <x:v>M00-M25</x:v>
      </x:c>
      <x:c r="C363" s="51" t="str">
        <x:v>Артропатии</x:v>
      </x:c>
      <x:c r="D363" s="33" t="str">
        <x:v>M05</x:v>
      </x:c>
      <x:c r="E363" s="39" t="n">
        <x:v>38</x:v>
      </x:c>
      <x:c r="F363" s="45" t="n">
        <x:v>68.5</x:v>
      </x:c>
      <x:c r="G363" s="45" t="n">
        <x:v>65</x:v>
      </x:c>
      <x:c r="H363" s="45" t="n">
        <x:v>75</x:v>
      </x:c>
      <x:c r="I363" s="45" t="n">
        <x:v>69.97368421052632</x:v>
      </x:c>
      <x:c r="J363" s="45" t="n">
        <x:v>53</x:v>
      </x:c>
      <x:c r="K363" s="45" t="n">
        <x:v>94</x:v>
      </x:c>
      <x:c r="L363" s="51" t="str">
        <x:v>Другие серопозитивные ревматоидные артриты</x:v>
      </x:c>
      <x:c r="M363" s="45" t="n">
        <x:v>10</x:v>
      </x:c>
      <x:c r="N363" s="33" t="str">
        <x:v>False</x:v>
      </x:c>
      <x:c r="O363" s="45" t="n">
        <x:v>13</x:v>
      </x:c>
    </x:row>
    <x:row r="364">
      <x:c r="A364" s="33" t="str">
        <x:v>XIII</x:v>
      </x:c>
      <x:c r="B364" s="33" t="str">
        <x:v>M00-M25</x:v>
      </x:c>
      <x:c r="C364" s="51" t="str">
        <x:v>Артропатии</x:v>
      </x:c>
      <x:c r="D364" s="33" t="str">
        <x:v>M06</x:v>
      </x:c>
      <x:c r="E364" s="39" t="n">
        <x:v>11</x:v>
      </x:c>
      <x:c r="F364" s="45" t="n">
        <x:v>59</x:v>
      </x:c>
      <x:c r="G364" s="45" t="n">
        <x:v>49</x:v>
      </x:c>
      <x:c r="H364" s="45" t="n">
        <x:v>66</x:v>
      </x:c>
      <x:c r="I364" s="45" t="n">
        <x:v>58.27272727272727</x:v>
      </x:c>
      <x:c r="J364" s="45" t="n">
        <x:v>33</x:v>
      </x:c>
      <x:c r="K364" s="45" t="n">
        <x:v>78</x:v>
      </x:c>
      <x:c r="L364" s="51" t="str">
        <x:v>Серонегативный ревматоидный артрит</x:v>
      </x:c>
      <x:c r="M364" s="45" t="n">
        <x:v>17</x:v>
      </x:c>
      <x:c r="N364" s="33" t="str">
        <x:v>False</x:v>
      </x:c>
      <x:c r="O364" s="45" t="n">
        <x:v>13</x:v>
      </x:c>
    </x:row>
    <x:row r="365">
      <x:c r="A365" s="33" t="str">
        <x:v>XIII</x:v>
      </x:c>
      <x:c r="B365" s="33" t="str">
        <x:v>M00-M25</x:v>
      </x:c>
      <x:c r="C365" s="51" t="str">
        <x:v>Артропатии</x:v>
      </x:c>
      <x:c r="D365" s="33" t="str">
        <x:v>M10</x:v>
      </x:c>
      <x:c r="E365" s="39" t="n">
        <x:v>29</x:v>
      </x:c>
      <x:c r="F365" s="45" t="n">
        <x:v>69</x:v>
      </x:c>
      <x:c r="G365" s="45" t="n">
        <x:v>62</x:v>
      </x:c>
      <x:c r="H365" s="45" t="n">
        <x:v>74</x:v>
      </x:c>
      <x:c r="I365" s="45" t="n">
        <x:v>68.65517241379311</x:v>
      </x:c>
      <x:c r="J365" s="45" t="n">
        <x:v>56</x:v>
      </x:c>
      <x:c r="K365" s="45" t="n">
        <x:v>86</x:v>
      </x:c>
      <x:c r="L365" s="51" t="str">
        <x:v>Идиопатическая подагра</x:v>
      </x:c>
      <x:c r="M365" s="45" t="n">
        <x:v>12</x:v>
      </x:c>
      <x:c r="N365" s="33" t="str">
        <x:v>False</x:v>
      </x:c>
      <x:c r="O365" s="45" t="n">
        <x:v>13</x:v>
      </x:c>
    </x:row>
    <x:row r="366">
      <x:c r="A366" s="33" t="str">
        <x:v>XIII</x:v>
      </x:c>
      <x:c r="B366" s="33" t="str">
        <x:v>M00-M25</x:v>
      </x:c>
      <x:c r="C366" s="51" t="str">
        <x:v>Артропатии</x:v>
      </x:c>
      <x:c r="D366" s="33" t="str">
        <x:v>M15</x:v>
      </x:c>
      <x:c r="E366" s="39" t="n">
        <x:v>11</x:v>
      </x:c>
      <x:c r="F366" s="45" t="n">
        <x:v>76</x:v>
      </x:c>
      <x:c r="G366" s="45" t="n">
        <x:v>71.5</x:v>
      </x:c>
      <x:c r="H366" s="45" t="n">
        <x:v>81</x:v>
      </x:c>
      <x:c r="I366" s="45" t="n">
        <x:v>78.0909090909091</x:v>
      </x:c>
      <x:c r="J366" s="45" t="n">
        <x:v>69</x:v>
      </x:c>
      <x:c r="K366" s="45" t="n">
        <x:v>95</x:v>
      </x:c>
      <x:c r="L366" s="51" t="str">
        <x:v>Первичный генерализованный (остео)артроз</x:v>
      </x:c>
      <x:c r="M366" s="45" t="n">
        <x:v>9.5</x:v>
      </x:c>
      <x:c r="N366" s="33" t="str">
        <x:v>False</x:v>
      </x:c>
      <x:c r="O366" s="45" t="n">
        <x:v>13</x:v>
      </x:c>
    </x:row>
    <x:row r="367">
      <x:c r="A367" s="33" t="str">
        <x:v>XIII</x:v>
      </x:c>
      <x:c r="B367" s="33" t="str">
        <x:v>M00-M25</x:v>
      </x:c>
      <x:c r="C367" s="51" t="str">
        <x:v>Артропатии</x:v>
      </x:c>
      <x:c r="D367" s="33" t="str">
        <x:v>M16</x:v>
      </x:c>
      <x:c r="E367" s="39" t="n">
        <x:v>9</x:v>
      </x:c>
      <x:c r="F367" s="45" t="n">
        <x:v>70</x:v>
      </x:c>
      <x:c r="G367" s="45" t="n">
        <x:v>64</x:v>
      </x:c>
      <x:c r="H367" s="45" t="n">
        <x:v>84</x:v>
      </x:c>
      <x:c r="I367" s="45" t="n">
        <x:v>72.44444444444444</x:v>
      </x:c>
      <x:c r="J367" s="45" t="n">
        <x:v>57</x:v>
      </x:c>
      <x:c r="K367" s="45" t="n">
        <x:v>90</x:v>
      </x:c>
      <x:c r="L367" s="51" t="str">
        <x:v>Другой первичный коксартроз</x:v>
      </x:c>
      <x:c r="M367" s="45" t="n">
        <x:v>20</x:v>
      </x:c>
      <x:c r="N367" s="33" t="str">
        <x:v>False</x:v>
      </x:c>
      <x:c r="O367" s="45" t="n">
        <x:v>13</x:v>
      </x:c>
    </x:row>
    <x:row r="368">
      <x:c r="A368" s="33" t="str">
        <x:v>XIII</x:v>
      </x:c>
      <x:c r="B368" s="33" t="str">
        <x:v>M00-M25</x:v>
      </x:c>
      <x:c r="C368" s="51" t="str">
        <x:v>Артропатии</x:v>
      </x:c>
      <x:c r="D368" s="33" t="str">
        <x:v>M17</x:v>
      </x:c>
      <x:c r="E368" s="39" t="n">
        <x:v>5</x:v>
      </x:c>
      <x:c r="F368" s="45" t="n">
        <x:v>83</x:v>
      </x:c>
      <x:c r="G368" s="45" t="n">
        <x:v>63</x:v>
      </x:c>
      <x:c r="H368" s="45" t="n">
        <x:v>83</x:v>
      </x:c>
      <x:c r="I368" s="45" t="n">
        <x:v>72.8</x:v>
      </x:c>
      <x:c r="J368" s="45" t="n">
        <x:v>48</x:v>
      </x:c>
      <x:c r="K368" s="45" t="n">
        <x:v>87</x:v>
      </x:c>
      <x:c r="L368" s="51" t="str">
        <x:v>Другой первичный гонартроз</x:v>
      </x:c>
      <x:c r="M368" s="45" t="n">
        <x:v>20</x:v>
      </x:c>
      <x:c r="N368" s="33" t="str">
        <x:v>False</x:v>
      </x:c>
      <x:c r="O368" s="45" t="n">
        <x:v>13</x:v>
      </x:c>
    </x:row>
    <x:row r="369">
      <x:c r="A369" s="33" t="str">
        <x:v>XIII</x:v>
      </x:c>
      <x:c r="B369" s="33" t="str">
        <x:v>M30-M36</x:v>
      </x:c>
      <x:c r="C369" s="51" t="str">
        <x:v>Системные поражения соединительной ткани</x:v>
      </x:c>
      <x:c r="D369" s="33" t="str">
        <x:v>M30</x:v>
      </x:c>
      <x:c r="E369" s="39" t="n">
        <x:v>3</x:v>
      </x:c>
      <x:c r="F369" s="45" t="n">
        <x:v>62</x:v>
      </x:c>
      <x:c r="G369" s="45" t="n">
        <x:v>59</x:v>
      </x:c>
      <x:c r="H369" s="45" t="n">
        <x:v>67</x:v>
      </x:c>
      <x:c r="I369" s="45" t="n">
        <x:v>63.333333333333336</x:v>
      </x:c>
      <x:c r="J369" s="45" t="n">
        <x:v>56</x:v>
      </x:c>
      <x:c r="K369" s="45" t="n">
        <x:v>72</x:v>
      </x:c>
      <x:c r="L369" s="51" t="str">
        <x:v>Узелковый полиартериит</x:v>
      </x:c>
      <x:c r="M369" s="45" t="n">
        <x:v>8</x:v>
      </x:c>
      <x:c r="N369" s="33" t="str">
        <x:v>True</x:v>
      </x:c>
      <x:c r="O369" s="45" t="n">
        <x:v>13</x:v>
      </x:c>
    </x:row>
    <x:row r="370">
      <x:c r="A370" s="33" t="str">
        <x:v>XIII</x:v>
      </x:c>
      <x:c r="B370" s="33" t="str">
        <x:v>M30-M36</x:v>
      </x:c>
      <x:c r="C370" s="51" t="str">
        <x:v>Системные поражения соединительной ткани</x:v>
      </x:c>
      <x:c r="D370" s="33" t="str">
        <x:v>M31</x:v>
      </x:c>
      <x:c r="E370" s="39" t="n">
        <x:v>11</x:v>
      </x:c>
      <x:c r="F370" s="45" t="n">
        <x:v>62</x:v>
      </x:c>
      <x:c r="G370" s="45" t="n">
        <x:v>37</x:v>
      </x:c>
      <x:c r="H370" s="45" t="n">
        <x:v>64</x:v>
      </x:c>
      <x:c r="I370" s="45" t="n">
        <x:v>52.72727272727273</x:v>
      </x:c>
      <x:c r="J370" s="45" t="n">
        <x:v>25</x:v>
      </x:c>
      <x:c r="K370" s="45" t="n">
        <x:v>71</x:v>
      </x:c>
      <x:c r="L370" s="51" t="str">
        <x:v>Гранулематоз Вегенера</x:v>
      </x:c>
      <x:c r="M370" s="45" t="n">
        <x:v>27</x:v>
      </x:c>
      <x:c r="N370" s="33" t="str">
        <x:v>False</x:v>
      </x:c>
      <x:c r="O370" s="45" t="n">
        <x:v>13</x:v>
      </x:c>
    </x:row>
    <x:row r="371">
      <x:c r="A371" s="33" t="str">
        <x:v>XIII</x:v>
      </x:c>
      <x:c r="B371" s="33" t="str">
        <x:v>M30-M36</x:v>
      </x:c>
      <x:c r="C371" s="51" t="str">
        <x:v>Системные поражения соединительной ткани</x:v>
      </x:c>
      <x:c r="D371" s="33" t="str">
        <x:v>M32</x:v>
      </x:c>
      <x:c r="E371" s="39" t="n">
        <x:v>17</x:v>
      </x:c>
      <x:c r="F371" s="45" t="n">
        <x:v>51</x:v>
      </x:c>
      <x:c r="G371" s="45" t="n">
        <x:v>43</x:v>
      </x:c>
      <x:c r="H371" s="45" t="n">
        <x:v>64</x:v>
      </x:c>
      <x:c r="I371" s="45" t="n">
        <x:v>53.11764705882353</x:v>
      </x:c>
      <x:c r="J371" s="45" t="n">
        <x:v>28</x:v>
      </x:c>
      <x:c r="K371" s="45" t="n">
        <x:v>78</x:v>
      </x:c>
      <x:c r="L371" s="51" t="str">
        <x:v>Системная красная волчанка с поражением других органов или систем</x:v>
      </x:c>
      <x:c r="M371" s="45" t="n">
        <x:v>21</x:v>
      </x:c>
      <x:c r="N371" s="33" t="str">
        <x:v>False</x:v>
      </x:c>
      <x:c r="O371" s="45" t="n">
        <x:v>13</x:v>
      </x:c>
    </x:row>
    <x:row r="372">
      <x:c r="A372" s="33" t="str">
        <x:v>XIII</x:v>
      </x:c>
      <x:c r="B372" s="33" t="str">
        <x:v>M30-M36</x:v>
      </x:c>
      <x:c r="C372" s="51" t="str">
        <x:v>Системные поражения соединительной ткани</x:v>
      </x:c>
      <x:c r="D372" s="33" t="str">
        <x:v>M34</x:v>
      </x:c>
      <x:c r="E372" s="39" t="n">
        <x:v>9</x:v>
      </x:c>
      <x:c r="F372" s="45" t="n">
        <x:v>63</x:v>
      </x:c>
      <x:c r="G372" s="45" t="n">
        <x:v>62</x:v>
      </x:c>
      <x:c r="H372" s="45" t="n">
        <x:v>68</x:v>
      </x:c>
      <x:c r="I372" s="45" t="n">
        <x:v>63.55555555555556</x:v>
      </x:c>
      <x:c r="J372" s="45" t="n">
        <x:v>36</x:v>
      </x:c>
      <x:c r="K372" s="45" t="n">
        <x:v>83</x:v>
      </x:c>
      <x:c r="L372" s="51" t="str">
        <x:v>Прогрессирующий системный склероз</x:v>
      </x:c>
      <x:c r="M372" s="45" t="n">
        <x:v>6</x:v>
      </x:c>
      <x:c r="N372" s="33" t="str">
        <x:v>False</x:v>
      </x:c>
      <x:c r="O372" s="45" t="n">
        <x:v>13</x:v>
      </x:c>
    </x:row>
    <x:row r="373">
      <x:c r="A373" s="33" t="str">
        <x:v>XIII</x:v>
      </x:c>
      <x:c r="B373" s="33" t="str">
        <x:v>M30-M36</x:v>
      </x:c>
      <x:c r="C373" s="51" t="str">
        <x:v>Системные поражения соединительной ткани</x:v>
      </x:c>
      <x:c r="D373" s="33" t="str">
        <x:v>M35</x:v>
      </x:c>
      <x:c r="E373" s="39" t="n">
        <x:v>4</x:v>
      </x:c>
      <x:c r="F373" s="45" t="n">
        <x:v>75</x:v>
      </x:c>
      <x:c r="G373" s="45" t="n">
        <x:v>61.25</x:v>
      </x:c>
      <x:c r="H373" s="45" t="n">
        <x:v>80.75</x:v>
      </x:c>
      <x:c r="I373" s="45" t="n">
        <x:v>67</x:v>
      </x:c>
      <x:c r="J373" s="45" t="n">
        <x:v>35</x:v>
      </x:c>
      <x:c r="K373" s="45" t="n">
        <x:v>83</x:v>
      </x:c>
      <x:c r="L373" s="51" t="str">
        <x:v>Рецидивирующий панникулит</x:v>
      </x:c>
      <x:c r="M373" s="45" t="n">
        <x:v>19.5</x:v>
      </x:c>
      <x:c r="N373" s="33" t="str">
        <x:v>True</x:v>
      </x:c>
      <x:c r="O373" s="45" t="n">
        <x:v>13</x:v>
      </x:c>
    </x:row>
    <x:row r="374">
      <x:c r="A374" s="33" t="str">
        <x:v>XIII</x:v>
      </x:c>
      <x:c r="B374" s="33" t="str">
        <x:v>M40-M54</x:v>
      </x:c>
      <x:c r="C374" s="51" t="str">
        <x:v>Дорсопатии</x:v>
      </x:c>
      <x:c r="D374" s="33" t="str">
        <x:v>M42</x:v>
      </x:c>
      <x:c r="E374" s="39" t="n">
        <x:v>1</x:v>
      </x:c>
      <x:c r="F374" s="45" t="n">
        <x:v>44</x:v>
      </x:c>
      <x:c r="G374" s="45" t="n">
        <x:v>44</x:v>
      </x:c>
      <x:c r="H374" s="45" t="n">
        <x:v>44</x:v>
      </x:c>
      <x:c r="I374" s="45" t="n">
        <x:v>44</x:v>
      </x:c>
      <x:c r="J374" s="45" t="n">
        <x:v>44</x:v>
      </x:c>
      <x:c r="K374" s="45" t="n">
        <x:v>44</x:v>
      </x:c>
      <x:c r="L374" s="51" t="str">
        <x:v>Остеохондроз позвоночника неуточненный</x:v>
      </x:c>
      <x:c r="M374" s="45" t="n">
        <x:v>0</x:v>
      </x:c>
      <x:c r="N374" s="33" t="str">
        <x:v>True</x:v>
      </x:c>
      <x:c r="O374" s="45" t="n">
        <x:v>13</x:v>
      </x:c>
    </x:row>
    <x:row r="375">
      <x:c r="A375" s="33" t="str">
        <x:v>XIII</x:v>
      </x:c>
      <x:c r="B375" s="33" t="str">
        <x:v>M40-M54</x:v>
      </x:c>
      <x:c r="C375" s="51" t="str">
        <x:v>Дорсопатии</x:v>
      </x:c>
      <x:c r="D375" s="33" t="str">
        <x:v>M43</x:v>
      </x:c>
      <x:c r="E375" s="39" t="n">
        <x:v>1</x:v>
      </x:c>
      <x:c r="F375" s="45" t="n">
        <x:v>90</x:v>
      </x:c>
      <x:c r="G375" s="45" t="n">
        <x:v>90</x:v>
      </x:c>
      <x:c r="H375" s="45" t="n">
        <x:v>90</x:v>
      </x:c>
      <x:c r="I375" s="45" t="n">
        <x:v>90</x:v>
      </x:c>
      <x:c r="J375" s="45" t="n">
        <x:v>90</x:v>
      </x:c>
      <x:c r="K375" s="45" t="n">
        <x:v>90</x:v>
      </x:c>
      <x:c r="L375" s="51" t="str">
        <x:v>Другие уточненные деформирующие дорсопатии</x:v>
      </x:c>
      <x:c r="M375" s="45" t="n">
        <x:v>0</x:v>
      </x:c>
      <x:c r="N375" s="33" t="str">
        <x:v>True</x:v>
      </x:c>
      <x:c r="O375" s="45" t="n">
        <x:v>13</x:v>
      </x:c>
    </x:row>
    <x:row r="376">
      <x:c r="A376" s="33" t="str">
        <x:v>XIII</x:v>
      </x:c>
      <x:c r="B376" s="33" t="str">
        <x:v>M40-M54</x:v>
      </x:c>
      <x:c r="C376" s="51" t="str">
        <x:v>Дорсопатии</x:v>
      </x:c>
      <x:c r="D376" s="33" t="str">
        <x:v>M45</x:v>
      </x:c>
      <x:c r="E376" s="39" t="n">
        <x:v>2</x:v>
      </x:c>
      <x:c r="F376" s="45" t="n">
        <x:v>49.5</x:v>
      </x:c>
      <x:c r="G376" s="45" t="n">
        <x:v>47.75</x:v>
      </x:c>
      <x:c r="H376" s="45" t="n">
        <x:v>51.25</x:v>
      </x:c>
      <x:c r="I376" s="45" t="n">
        <x:v>49.5</x:v>
      </x:c>
      <x:c r="J376" s="45" t="n">
        <x:v>46</x:v>
      </x:c>
      <x:c r="K376" s="45" t="n">
        <x:v>53</x:v>
      </x:c>
      <x:c r="L376" s="51" t="str">
        <x:v>Анкилозирующий спондилит</x:v>
      </x:c>
      <x:c r="M376" s="45" t="n">
        <x:v>3.5</x:v>
      </x:c>
      <x:c r="N376" s="33" t="str">
        <x:v>True</x:v>
      </x:c>
      <x:c r="O376" s="45" t="n">
        <x:v>13</x:v>
      </x:c>
    </x:row>
    <x:row r="377">
      <x:c r="A377" s="33" t="str">
        <x:v>XIII</x:v>
      </x:c>
      <x:c r="B377" s="33" t="str">
        <x:v>M40-M54</x:v>
      </x:c>
      <x:c r="C377" s="51" t="str">
        <x:v>Дорсопатии</x:v>
      </x:c>
      <x:c r="D377" s="33" t="str">
        <x:v>M46</x:v>
      </x:c>
      <x:c r="E377" s="39" t="n">
        <x:v>21</x:v>
      </x:c>
      <x:c r="F377" s="45" t="n">
        <x:v>60</x:v>
      </x:c>
      <x:c r="G377" s="45" t="n">
        <x:v>53</x:v>
      </x:c>
      <x:c r="H377" s="45" t="n">
        <x:v>68</x:v>
      </x:c>
      <x:c r="I377" s="45" t="n">
        <x:v>59.476190476190474</x:v>
      </x:c>
      <x:c r="J377" s="45" t="n">
        <x:v>40</x:v>
      </x:c>
      <x:c r="K377" s="45" t="n">
        <x:v>74</x:v>
      </x:c>
      <x:c r="L377" s="51" t="str">
        <x:v>Остеомиелит позвонков</x:v>
      </x:c>
      <x:c r="M377" s="45" t="n">
        <x:v>15</x:v>
      </x:c>
      <x:c r="N377" s="33" t="str">
        <x:v>False</x:v>
      </x:c>
      <x:c r="O377" s="45" t="n">
        <x:v>13</x:v>
      </x:c>
    </x:row>
    <x:row r="378">
      <x:c r="A378" s="33" t="str">
        <x:v>XIII</x:v>
      </x:c>
      <x:c r="B378" s="33" t="str">
        <x:v>M40-M54</x:v>
      </x:c>
      <x:c r="C378" s="51" t="str">
        <x:v>Дорсопатии</x:v>
      </x:c>
      <x:c r="D378" s="33" t="str">
        <x:v>M47</x:v>
      </x:c>
      <x:c r="E378" s="39" t="n">
        <x:v>4</x:v>
      </x:c>
      <x:c r="F378" s="45" t="n">
        <x:v>70</x:v>
      </x:c>
      <x:c r="G378" s="45" t="n">
        <x:v>68</x:v>
      </x:c>
      <x:c r="H378" s="45" t="n">
        <x:v>72.5</x:v>
      </x:c>
      <x:c r="I378" s="45" t="n">
        <x:v>70.5</x:v>
      </x:c>
      <x:c r="J378" s="45" t="n">
        <x:v>68</x:v>
      </x:c>
      <x:c r="K378" s="45" t="n">
        <x:v>74</x:v>
      </x:c>
      <x:c r="L378" s="51" t="str">
        <x:v>Другие спондилезы с миелопатией</x:v>
      </x:c>
      <x:c r="M378" s="45" t="n">
        <x:v>4.5</x:v>
      </x:c>
      <x:c r="N378" s="33" t="str">
        <x:v>True</x:v>
      </x:c>
      <x:c r="O378" s="45" t="n">
        <x:v>13</x:v>
      </x:c>
    </x:row>
    <x:row r="379">
      <x:c r="A379" s="33" t="str">
        <x:v>XIII</x:v>
      </x:c>
      <x:c r="B379" s="33" t="str">
        <x:v>M40-M54</x:v>
      </x:c>
      <x:c r="C379" s="51" t="str">
        <x:v>Дорсопатии</x:v>
      </x:c>
      <x:c r="D379" s="33" t="str">
        <x:v>M48</x:v>
      </x:c>
      <x:c r="E379" s="39" t="n">
        <x:v>3</x:v>
      </x:c>
      <x:c r="F379" s="45" t="n">
        <x:v>66</x:v>
      </x:c>
      <x:c r="G379" s="45" t="n">
        <x:v>59.5</x:v>
      </x:c>
      <x:c r="H379" s="45" t="n">
        <x:v>71</x:v>
      </x:c>
      <x:c r="I379" s="45" t="n">
        <x:v>65</x:v>
      </x:c>
      <x:c r="J379" s="45" t="n">
        <x:v>53</x:v>
      </x:c>
      <x:c r="K379" s="45" t="n">
        <x:v>76</x:v>
      </x:c>
      <x:c r="L379" s="51" t="str">
        <x:v>Спинальный стеноз</x:v>
      </x:c>
      <x:c r="M379" s="45" t="n">
        <x:v>11.5</x:v>
      </x:c>
      <x:c r="N379" s="33" t="str">
        <x:v>True</x:v>
      </x:c>
      <x:c r="O379" s="45" t="n">
        <x:v>13</x:v>
      </x:c>
    </x:row>
    <x:row r="380">
      <x:c r="A380" s="33" t="str">
        <x:v>XIII</x:v>
      </x:c>
      <x:c r="B380" s="33" t="str">
        <x:v>M40-M54</x:v>
      </x:c>
      <x:c r="C380" s="51" t="str">
        <x:v>Дорсопатии</x:v>
      </x:c>
      <x:c r="D380" s="33" t="str">
        <x:v>M50</x:v>
      </x:c>
      <x:c r="E380" s="39" t="n">
        <x:v>2</x:v>
      </x:c>
      <x:c r="F380" s="45" t="n">
        <x:v>59.5</x:v>
      </x:c>
      <x:c r="G380" s="45" t="n">
        <x:v>53.75</x:v>
      </x:c>
      <x:c r="H380" s="45" t="n">
        <x:v>65.25</x:v>
      </x:c>
      <x:c r="I380" s="45" t="n">
        <x:v>59.5</x:v>
      </x:c>
      <x:c r="J380" s="45" t="n">
        <x:v>48</x:v>
      </x:c>
      <x:c r="K380" s="45" t="n">
        <x:v>71</x:v>
      </x:c>
      <x:c r="L380" s="51" t="str">
        <x:v>Поражение межпозвоночного диска шейного отдел с миелопатией (G99.2*)</x:v>
      </x:c>
      <x:c r="M380" s="45" t="n">
        <x:v>11.5</x:v>
      </x:c>
      <x:c r="N380" s="33" t="str">
        <x:v>True</x:v>
      </x:c>
      <x:c r="O380" s="45" t="n">
        <x:v>13</x:v>
      </x:c>
    </x:row>
    <x:row r="381">
      <x:c r="A381" s="33" t="str">
        <x:v>XIII</x:v>
      </x:c>
      <x:c r="B381" s="33" t="str">
        <x:v>M40-M54</x:v>
      </x:c>
      <x:c r="C381" s="51" t="str">
        <x:v>Дорсопатии</x:v>
      </x:c>
      <x:c r="D381" s="33" t="str">
        <x:v>M51</x:v>
      </x:c>
      <x:c r="E381" s="39" t="n">
        <x:v>3</x:v>
      </x:c>
      <x:c r="F381" s="45" t="n">
        <x:v>69</x:v>
      </x:c>
      <x:c r="G381" s="45" t="n">
        <x:v>63.5</x:v>
      </x:c>
      <x:c r="H381" s="45" t="n">
        <x:v>69.5</x:v>
      </x:c>
      <x:c r="I381" s="45" t="n">
        <x:v>65.66666666666667</x:v>
      </x:c>
      <x:c r="J381" s="45" t="n">
        <x:v>58</x:v>
      </x:c>
      <x:c r="K381" s="45" t="n">
        <x:v>70</x:v>
      </x:c>
      <x:c r="L381" s="51" t="str">
        <x:v>Поражения межпозвоночных дисков поясничного и других отделов с радикулопатией (G55.1*)</x:v>
      </x:c>
      <x:c r="M381" s="45" t="n">
        <x:v>6</x:v>
      </x:c>
      <x:c r="N381" s="33" t="str">
        <x:v>True</x:v>
      </x:c>
      <x:c r="O381" s="45" t="n">
        <x:v>13</x:v>
      </x:c>
    </x:row>
    <x:row r="382">
      <x:c r="A382" s="33" t="str">
        <x:v>XIII</x:v>
      </x:c>
      <x:c r="B382" s="33" t="str">
        <x:v>M40-M54</x:v>
      </x:c>
      <x:c r="C382" s="51" t="str">
        <x:v>Дорсопатии</x:v>
      </x:c>
      <x:c r="D382" s="33" t="str">
        <x:v>M53</x:v>
      </x:c>
      <x:c r="E382" s="39" t="n">
        <x:v>1</x:v>
      </x:c>
      <x:c r="F382" s="45" t="n">
        <x:v>70</x:v>
      </x:c>
      <x:c r="G382" s="45" t="n">
        <x:v>70</x:v>
      </x:c>
      <x:c r="H382" s="45" t="n">
        <x:v>70</x:v>
      </x:c>
      <x:c r="I382" s="45" t="n">
        <x:v>70</x:v>
      </x:c>
      <x:c r="J382" s="45" t="n">
        <x:v>70</x:v>
      </x:c>
      <x:c r="K382" s="45" t="n">
        <x:v>70</x:v>
      </x:c>
      <x:c r="L382" s="51" t="str">
        <x:v>Спинальная нестабильность</x:v>
      </x:c>
      <x:c r="M382" s="45" t="n">
        <x:v>0</x:v>
      </x:c>
      <x:c r="N382" s="33" t="str">
        <x:v>True</x:v>
      </x:c>
      <x:c r="O382" s="45" t="n">
        <x:v>13</x:v>
      </x:c>
    </x:row>
    <x:row r="383">
      <x:c r="A383" s="33" t="str">
        <x:v>XIII</x:v>
      </x:c>
      <x:c r="B383" s="33" t="str">
        <x:v>M60-M79</x:v>
      </x:c>
      <x:c r="C383" s="51" t="str">
        <x:v>Болезни мягких тканей</x:v>
      </x:c>
      <x:c r="D383" s="33" t="str">
        <x:v>M60</x:v>
      </x:c>
      <x:c r="E383" s="39" t="n">
        <x:v>5</x:v>
      </x:c>
      <x:c r="F383" s="45" t="n">
        <x:v>56</x:v>
      </x:c>
      <x:c r="G383" s="45" t="n">
        <x:v>48</x:v>
      </x:c>
      <x:c r="H383" s="45" t="n">
        <x:v>66</x:v>
      </x:c>
      <x:c r="I383" s="45" t="n">
        <x:v>56.2</x:v>
      </x:c>
      <x:c r="J383" s="45" t="n">
        <x:v>44</x:v>
      </x:c>
      <x:c r="K383" s="45" t="n">
        <x:v>67</x:v>
      </x:c>
      <x:c r="L383" s="51" t="str">
        <x:v>Инфекционный миозит</x:v>
      </x:c>
      <x:c r="M383" s="45" t="n">
        <x:v>18</x:v>
      </x:c>
      <x:c r="N383" s="33" t="str">
        <x:v>False</x:v>
      </x:c>
      <x:c r="O383" s="45" t="n">
        <x:v>13</x:v>
      </x:c>
    </x:row>
    <x:row r="384">
      <x:c r="A384" s="33" t="str">
        <x:v>XIII</x:v>
      </x:c>
      <x:c r="B384" s="33" t="str">
        <x:v>M60-M79</x:v>
      </x:c>
      <x:c r="C384" s="51" t="str">
        <x:v>Болезни мягких тканей</x:v>
      </x:c>
      <x:c r="D384" s="33" t="str">
        <x:v>M70</x:v>
      </x:c>
      <x:c r="E384" s="39" t="n">
        <x:v>1</x:v>
      </x:c>
      <x:c r="F384" s="45" t="n">
        <x:v>69</x:v>
      </x:c>
      <x:c r="G384" s="45" t="n">
        <x:v>69</x:v>
      </x:c>
      <x:c r="H384" s="45" t="n">
        <x:v>69</x:v>
      </x:c>
      <x:c r="I384" s="45" t="n">
        <x:v>69</x:v>
      </x:c>
      <x:c r="J384" s="45" t="n">
        <x:v>69</x:v>
      </x:c>
      <x:c r="K384" s="45" t="n">
        <x:v>69</x:v>
      </x:c>
      <x:c r="L384" s="51" t="str">
        <x:v>Бурсит области таза</x:v>
      </x:c>
      <x:c r="M384" s="45" t="n">
        <x:v>0</x:v>
      </x:c>
      <x:c r="N384" s="33" t="str">
        <x:v>True</x:v>
      </x:c>
      <x:c r="O384" s="45" t="n">
        <x:v>13</x:v>
      </x:c>
    </x:row>
    <x:row r="385">
      <x:c r="A385" s="33" t="str">
        <x:v>XIII</x:v>
      </x:c>
      <x:c r="B385" s="33" t="str">
        <x:v>M80-M94</x:v>
      </x:c>
      <x:c r="C385" s="51" t="str">
        <x:v>Остеопатии и хондропатии</x:v>
      </x:c>
      <x:c r="D385" s="33" t="str">
        <x:v>M80</x:v>
      </x:c>
      <x:c r="E385" s="39" t="n">
        <x:v>31</x:v>
      </x:c>
      <x:c r="F385" s="45" t="n">
        <x:v>83</x:v>
      </x:c>
      <x:c r="G385" s="45" t="n">
        <x:v>75</x:v>
      </x:c>
      <x:c r="H385" s="45" t="n">
        <x:v>90.5</x:v>
      </x:c>
      <x:c r="I385" s="45" t="n">
        <x:v>81.83870967741936</x:v>
      </x:c>
      <x:c r="J385" s="45" t="n">
        <x:v>64</x:v>
      </x:c>
      <x:c r="K385" s="45" t="n">
        <x:v>97</x:v>
      </x:c>
      <x:c r="L385" s="51" t="str">
        <x:v>Идиопатический остеопороз с патологическим переломом</x:v>
      </x:c>
      <x:c r="M385" s="45" t="n">
        <x:v>15.5</x:v>
      </x:c>
      <x:c r="N385" s="33" t="str">
        <x:v>False</x:v>
      </x:c>
      <x:c r="O385" s="45" t="n">
        <x:v>13</x:v>
      </x:c>
    </x:row>
    <x:row r="386">
      <x:c r="A386" s="33" t="str">
        <x:v>XIII</x:v>
      </x:c>
      <x:c r="B386" s="33" t="str">
        <x:v>M80-M94</x:v>
      </x:c>
      <x:c r="C386" s="51" t="str">
        <x:v>Остеопатии и хондропатии</x:v>
      </x:c>
      <x:c r="D386" s="33" t="str">
        <x:v>M81</x:v>
      </x:c>
      <x:c r="E386" s="39" t="n">
        <x:v>1</x:v>
      </x:c>
      <x:c r="F386" s="45" t="n">
        <x:v>78</x:v>
      </x:c>
      <x:c r="G386" s="45" t="n">
        <x:v>78</x:v>
      </x:c>
      <x:c r="H386" s="45" t="n">
        <x:v>78</x:v>
      </x:c>
      <x:c r="I386" s="45" t="n">
        <x:v>78</x:v>
      </x:c>
      <x:c r="J386" s="45" t="n">
        <x:v>78</x:v>
      </x:c>
      <x:c r="K386" s="45" t="n">
        <x:v>78</x:v>
      </x:c>
      <x:c r="L386" s="51" t="str">
        <x:v>Другие остеопорозы</x:v>
      </x:c>
      <x:c r="M386" s="45" t="n">
        <x:v>0</x:v>
      </x:c>
      <x:c r="N386" s="33" t="str">
        <x:v>True</x:v>
      </x:c>
      <x:c r="O386" s="45" t="n">
        <x:v>13</x:v>
      </x:c>
    </x:row>
    <x:row r="387">
      <x:c r="A387" s="33" t="str">
        <x:v>XIII</x:v>
      </x:c>
      <x:c r="B387" s="33" t="str">
        <x:v>M80-M94</x:v>
      </x:c>
      <x:c r="C387" s="51" t="str">
        <x:v>Остеопатии и хондропатии</x:v>
      </x:c>
      <x:c r="D387" s="33" t="str">
        <x:v>M84</x:v>
      </x:c>
      <x:c r="E387" s="39" t="n">
        <x:v>3</x:v>
      </x:c>
      <x:c r="F387" s="45" t="n">
        <x:v>71</x:v>
      </x:c>
      <x:c r="G387" s="45" t="n">
        <x:v>69.5</x:v>
      </x:c>
      <x:c r="H387" s="45" t="n">
        <x:v>75.5</x:v>
      </x:c>
      <x:c r="I387" s="45" t="n">
        <x:v>73</x:v>
      </x:c>
      <x:c r="J387" s="45" t="n">
        <x:v>68</x:v>
      </x:c>
      <x:c r="K387" s="45" t="n">
        <x:v>80</x:v>
      </x:c>
      <x:c r="L387" s="51" t="str">
        <x:v>Патологические переломы, не классифицированные в других рубриках</x:v>
      </x:c>
      <x:c r="M387" s="45" t="n">
        <x:v>6</x:v>
      </x:c>
      <x:c r="N387" s="33" t="str">
        <x:v>True</x:v>
      </x:c>
      <x:c r="O387" s="45" t="n">
        <x:v>13</x:v>
      </x:c>
    </x:row>
    <x:row r="388">
      <x:c r="A388" s="33" t="str">
        <x:v>XIII</x:v>
      </x:c>
      <x:c r="B388" s="33" t="str">
        <x:v>M80-M94</x:v>
      </x:c>
      <x:c r="C388" s="51" t="str">
        <x:v>Остеопатии и хондропатии</x:v>
      </x:c>
      <x:c r="D388" s="33" t="str">
        <x:v>M85</x:v>
      </x:c>
      <x:c r="E388" s="39" t="n">
        <x:v>1</x:v>
      </x:c>
      <x:c r="F388" s="45" t="n">
        <x:v>78</x:v>
      </x:c>
      <x:c r="G388" s="45" t="n">
        <x:v>78</x:v>
      </x:c>
      <x:c r="H388" s="45" t="n">
        <x:v>78</x:v>
      </x:c>
      <x:c r="I388" s="45" t="n">
        <x:v>78</x:v>
      </x:c>
      <x:c r="J388" s="45" t="n">
        <x:v>78</x:v>
      </x:c>
      <x:c r="K388" s="45" t="n">
        <x:v>78</x:v>
      </x:c>
      <x:c r="L388" s="51" t="str">
        <x:v>Гиперостоз черепа</x:v>
      </x:c>
      <x:c r="M388" s="45" t="n">
        <x:v>0</x:v>
      </x:c>
      <x:c r="N388" s="33" t="str">
        <x:v>True</x:v>
      </x:c>
      <x:c r="O388" s="45" t="n">
        <x:v>13</x:v>
      </x:c>
    </x:row>
    <x:row r="389">
      <x:c r="A389" s="33" t="str">
        <x:v>XIII</x:v>
      </x:c>
      <x:c r="B389" s="33" t="str">
        <x:v>M80-M94</x:v>
      </x:c>
      <x:c r="C389" s="51" t="str">
        <x:v>Остеопатии и хондропатии</x:v>
      </x:c>
      <x:c r="D389" s="33" t="str">
        <x:v>M86</x:v>
      </x:c>
      <x:c r="E389" s="39" t="n">
        <x:v>42</x:v>
      </x:c>
      <x:c r="F389" s="45" t="n">
        <x:v>62.5</x:v>
      </x:c>
      <x:c r="G389" s="45" t="n">
        <x:v>60</x:v>
      </x:c>
      <x:c r="H389" s="45" t="n">
        <x:v>71.75</x:v>
      </x:c>
      <x:c r="I389" s="45" t="n">
        <x:v>63.404761904761905</x:v>
      </x:c>
      <x:c r="J389" s="45" t="n">
        <x:v>36</x:v>
      </x:c>
      <x:c r="K389" s="45" t="n">
        <x:v>86</x:v>
      </x:c>
      <x:c r="L389" s="51" t="str">
        <x:v>Другой хронический остеомиелит</x:v>
      </x:c>
      <x:c r="M389" s="45" t="n">
        <x:v>11.75</x:v>
      </x:c>
      <x:c r="N389" s="33" t="str">
        <x:v>False</x:v>
      </x:c>
      <x:c r="O389" s="45" t="n">
        <x:v>13</x:v>
      </x:c>
    </x:row>
    <x:row r="390">
      <x:c r="A390" s="33" t="str">
        <x:v>XIII</x:v>
      </x:c>
      <x:c r="B390" s="33" t="str">
        <x:v>M80-M94</x:v>
      </x:c>
      <x:c r="C390" s="51" t="str">
        <x:v>Остеопатии и хондропатии</x:v>
      </x:c>
      <x:c r="D390" s="33" t="str">
        <x:v>M87</x:v>
      </x:c>
      <x:c r="E390" s="39" t="n">
        <x:v>3</x:v>
      </x:c>
      <x:c r="F390" s="45" t="n">
        <x:v>66</x:v>
      </x:c>
      <x:c r="G390" s="45" t="n">
        <x:v>59.5</x:v>
      </x:c>
      <x:c r="H390" s="45" t="n">
        <x:v>66.5</x:v>
      </x:c>
      <x:c r="I390" s="45" t="n">
        <x:v>62</x:v>
      </x:c>
      <x:c r="J390" s="45" t="n">
        <x:v>53</x:v>
      </x:c>
      <x:c r="K390" s="45" t="n">
        <x:v>67</x:v>
      </x:c>
      <x:c r="L390" s="51" t="str">
        <x:v>Идиопатический асептический некроз кости</x:v>
      </x:c>
      <x:c r="M390" s="45" t="n">
        <x:v>7</x:v>
      </x:c>
      <x:c r="N390" s="33" t="str">
        <x:v>True</x:v>
      </x:c>
      <x:c r="O390" s="45" t="n">
        <x:v>13</x:v>
      </x:c>
    </x:row>
    <x:row r="391">
      <x:c r="A391" s="33" t="str">
        <x:v>XIII</x:v>
      </x:c>
      <x:c r="B391" s="33" t="str">
        <x:v>M95-M99</x:v>
      </x:c>
      <x:c r="C391" s="51" t="str">
        <x:v>Другие нарушения костно-мышечной системы и соединительной ткани</x:v>
      </x:c>
      <x:c r="D391" s="33" t="str">
        <x:v>M95</x:v>
      </x:c>
      <x:c r="E391" s="39" t="n">
        <x:v>1</x:v>
      </x:c>
      <x:c r="F391" s="45" t="n">
        <x:v>78</x:v>
      </x:c>
      <x:c r="G391" s="45" t="n">
        <x:v>78</x:v>
      </x:c>
      <x:c r="H391" s="45" t="n">
        <x:v>78</x:v>
      </x:c>
      <x:c r="I391" s="45" t="n">
        <x:v>78</x:v>
      </x:c>
      <x:c r="J391" s="45" t="n">
        <x:v>78</x:v>
      </x:c>
      <x:c r="K391" s="45" t="n">
        <x:v>78</x:v>
      </x:c>
      <x:c r="L391" s="51" t="str">
        <x:v>Другие уточненные приобретенные деформации костно-мышечной системы</x:v>
      </x:c>
      <x:c r="M391" s="45" t="n">
        <x:v>0</x:v>
      </x:c>
      <x:c r="N391" s="33" t="str">
        <x:v>True</x:v>
      </x:c>
      <x:c r="O391" s="45" t="n">
        <x:v>13</x:v>
      </x:c>
    </x:row>
    <x:row r="392">
      <x:c r="A392" s="33" t="str">
        <x:v>XIV</x:v>
      </x:c>
      <x:c r="B392" s="33" t="str">
        <x:v>N00-N08</x:v>
      </x:c>
      <x:c r="C392" s="51" t="str">
        <x:v>Гломерулярные болезни</x:v>
      </x:c>
      <x:c r="D392" s="33" t="str">
        <x:v>N00</x:v>
      </x:c>
      <x:c r="E392" s="39" t="n">
        <x:v>3</x:v>
      </x:c>
      <x:c r="F392" s="45" t="n">
        <x:v>39</x:v>
      </x:c>
      <x:c r="G392" s="45" t="n">
        <x:v>38.5</x:v>
      </x:c>
      <x:c r="H392" s="45" t="n">
        <x:v>53.5</x:v>
      </x:c>
      <x:c r="I392" s="45" t="n">
        <x:v>48.333333333333336</x:v>
      </x:c>
      <x:c r="J392" s="45" t="n">
        <x:v>38</x:v>
      </x:c>
      <x:c r="K392" s="45" t="n">
        <x:v>68</x:v>
      </x:c>
      <x:c r="L392" s="51" t="str">
        <x:v>Острый нефритический синдром</x:v>
      </x:c>
      <x:c r="M392" s="45" t="n">
        <x:v>15</x:v>
      </x:c>
      <x:c r="N392" s="33" t="str">
        <x:v>True</x:v>
      </x:c>
      <x:c r="O392" s="45" t="n">
        <x:v>14</x:v>
      </x:c>
    </x:row>
    <x:row r="393">
      <x:c r="A393" s="33" t="str">
        <x:v>XIV</x:v>
      </x:c>
      <x:c r="B393" s="33" t="str">
        <x:v>N00-N08</x:v>
      </x:c>
      <x:c r="C393" s="51" t="str">
        <x:v>Гломерулярные болезни</x:v>
      </x:c>
      <x:c r="D393" s="33" t="str">
        <x:v>N01</x:v>
      </x:c>
      <x:c r="E393" s="39" t="n">
        <x:v>4</x:v>
      </x:c>
      <x:c r="F393" s="45" t="n">
        <x:v>69</x:v>
      </x:c>
      <x:c r="G393" s="45" t="n">
        <x:v>55.5</x:v>
      </x:c>
      <x:c r="H393" s="45" t="n">
        <x:v>74.5</x:v>
      </x:c>
      <x:c r="I393" s="45" t="n">
        <x:v>61</x:v>
      </x:c>
      <x:c r="J393" s="45" t="n">
        <x:v>27</x:v>
      </x:c>
      <x:c r="K393" s="45" t="n">
        <x:v>79</x:v>
      </x:c>
      <x:c r="L393" s="51" t="str">
        <x:v>Быстропрогрессирующий нефритический синдром</x:v>
      </x:c>
      <x:c r="M393" s="45" t="n">
        <x:v>19</x:v>
      </x:c>
      <x:c r="N393" s="33" t="str">
        <x:v>True</x:v>
      </x:c>
      <x:c r="O393" s="45" t="n">
        <x:v>14</x:v>
      </x:c>
    </x:row>
    <x:row r="394">
      <x:c r="A394" s="33" t="str">
        <x:v>XIV</x:v>
      </x:c>
      <x:c r="B394" s="33" t="str">
        <x:v>N00-N08</x:v>
      </x:c>
      <x:c r="C394" s="51" t="str">
        <x:v>Гломерулярные болезни</x:v>
      </x:c>
      <x:c r="D394" s="33" t="str">
        <x:v>N03</x:v>
      </x:c>
      <x:c r="E394" s="39" t="n">
        <x:v>27</x:v>
      </x:c>
      <x:c r="F394" s="45" t="n">
        <x:v>66</x:v>
      </x:c>
      <x:c r="G394" s="45" t="n">
        <x:v>59.5</x:v>
      </x:c>
      <x:c r="H394" s="45" t="n">
        <x:v>71</x:v>
      </x:c>
      <x:c r="I394" s="45" t="n">
        <x:v>66</x:v>
      </x:c>
      <x:c r="J394" s="45" t="n">
        <x:v>39</x:v>
      </x:c>
      <x:c r="K394" s="45" t="n">
        <x:v>92</x:v>
      </x:c>
      <x:c r="L394" s="51" t="str">
        <x:v>Хронический нефритический синдром с другими изменениями</x:v>
      </x:c>
      <x:c r="M394" s="45" t="n">
        <x:v>11.5</x:v>
      </x:c>
      <x:c r="N394" s="33" t="str">
        <x:v>False</x:v>
      </x:c>
      <x:c r="O394" s="45" t="n">
        <x:v>14</x:v>
      </x:c>
    </x:row>
    <x:row r="395">
      <x:c r="A395" s="33" t="str">
        <x:v>XIV</x:v>
      </x:c>
      <x:c r="B395" s="33" t="str">
        <x:v>N00-N08</x:v>
      </x:c>
      <x:c r="C395" s="51" t="str">
        <x:v>Гломерулярные болезни</x:v>
      </x:c>
      <x:c r="D395" s="33" t="str">
        <x:v>N04</x:v>
      </x:c>
      <x:c r="E395" s="39" t="n">
        <x:v>4</x:v>
      </x:c>
      <x:c r="F395" s="45" t="n">
        <x:v>72</x:v>
      </x:c>
      <x:c r="G395" s="45" t="n">
        <x:v>63.25</x:v>
      </x:c>
      <x:c r="H395" s="45" t="n">
        <x:v>79.75</x:v>
      </x:c>
      <x:c r="I395" s="45" t="n">
        <x:v>71</x:v>
      </x:c>
      <x:c r="J395" s="45" t="n">
        <x:v>58</x:v>
      </x:c>
      <x:c r="K395" s="45" t="n">
        <x:v>82</x:v>
      </x:c>
      <x:c r="L395" s="51" t="str">
        <x:v>Нефротический синдрок</x:v>
      </x:c>
      <x:c r="M395" s="45" t="n">
        <x:v>16.5</x:v>
      </x:c>
      <x:c r="N395" s="33" t="str">
        <x:v>True</x:v>
      </x:c>
      <x:c r="O395" s="45" t="n">
        <x:v>14</x:v>
      </x:c>
    </x:row>
    <x:row r="396">
      <x:c r="A396" s="33" t="str">
        <x:v>XIV</x:v>
      </x:c>
      <x:c r="B396" s="33" t="str">
        <x:v>N00-N08</x:v>
      </x:c>
      <x:c r="C396" s="51" t="str">
        <x:v>Гломерулярные болезни</x:v>
      </x:c>
      <x:c r="D396" s="33" t="str">
        <x:v>N05</x:v>
      </x:c>
      <x:c r="E396" s="39" t="n">
        <x:v>20</x:v>
      </x:c>
      <x:c r="F396" s="45" t="n">
        <x:v>76</x:v>
      </x:c>
      <x:c r="G396" s="45" t="n">
        <x:v>72.75</x:v>
      </x:c>
      <x:c r="H396" s="45" t="n">
        <x:v>86.25</x:v>
      </x:c>
      <x:c r="I396" s="45" t="n">
        <x:v>77.95</x:v>
      </x:c>
      <x:c r="J396" s="45" t="n">
        <x:v>64</x:v>
      </x:c>
      <x:c r="K396" s="45" t="n">
        <x:v>93</x:v>
      </x:c>
      <x:c r="L396" s="51" t="str">
        <x:v>Нефритический синдром неуточненный с другими изменениями</x:v>
      </x:c>
      <x:c r="M396" s="45" t="n">
        <x:v>13.5</x:v>
      </x:c>
      <x:c r="N396" s="33" t="str">
        <x:v>False</x:v>
      </x:c>
      <x:c r="O396" s="45" t="n">
        <x:v>14</x:v>
      </x:c>
    </x:row>
    <x:row r="397">
      <x:c r="A397" s="33" t="str">
        <x:v>XIV</x:v>
      </x:c>
      <x:c r="B397" s="33" t="str">
        <x:v>N10-N16</x:v>
      </x:c>
      <x:c r="C397" s="51" t="str">
        <x:v>Тубулоинтерстициальные болезни почек</x:v>
      </x:c>
      <x:c r="D397" s="33" t="str">
        <x:v>N10</x:v>
      </x:c>
      <x:c r="E397" s="39" t="n">
        <x:v>47</x:v>
      </x:c>
      <x:c r="F397" s="45" t="n">
        <x:v>68</x:v>
      </x:c>
      <x:c r="G397" s="45" t="n">
        <x:v>56</x:v>
      </x:c>
      <x:c r="H397" s="45" t="n">
        <x:v>78.5</x:v>
      </x:c>
      <x:c r="I397" s="45" t="n">
        <x:v>65.74468085106383</x:v>
      </x:c>
      <x:c r="J397" s="45" t="n">
        <x:v>28</x:v>
      </x:c>
      <x:c r="K397" s="45" t="n">
        <x:v>93</x:v>
      </x:c>
      <x:c r="L397" s="51" t="str">
        <x:v>Острый тубулоинтерстициальный нефрит</x:v>
      </x:c>
      <x:c r="M397" s="45" t="n">
        <x:v>22.5</x:v>
      </x:c>
      <x:c r="N397" s="33" t="str">
        <x:v>False</x:v>
      </x:c>
      <x:c r="O397" s="45" t="n">
        <x:v>14</x:v>
      </x:c>
    </x:row>
    <x:row r="398">
      <x:c r="A398" s="33" t="str">
        <x:v>XIV</x:v>
      </x:c>
      <x:c r="B398" s="33" t="str">
        <x:v>N10-N16</x:v>
      </x:c>
      <x:c r="C398" s="51" t="str">
        <x:v>Тубулоинтерстициальные болезни почек</x:v>
      </x:c>
      <x:c r="D398" s="33" t="str">
        <x:v>N11</x:v>
      </x:c>
      <x:c r="E398" s="39" t="n">
        <x:v>1719</x:v>
      </x:c>
      <x:c r="F398" s="45" t="n">
        <x:v>77</x:v>
      </x:c>
      <x:c r="G398" s="45" t="n">
        <x:v>68</x:v>
      </x:c>
      <x:c r="H398" s="45" t="n">
        <x:v>84</x:v>
      </x:c>
      <x:c r="I398" s="45" t="n">
        <x:v>75.50552646887725</x:v>
      </x:c>
      <x:c r="J398" s="45" t="n">
        <x:v>29</x:v>
      </x:c>
      <x:c r="K398" s="45" t="n">
        <x:v>103</x:v>
      </x:c>
      <x:c r="L398" s="51" t="str">
        <x:v>Другие хронические тубулоинтерстициальные нефриты</x:v>
      </x:c>
      <x:c r="M398" s="45" t="n">
        <x:v>16</x:v>
      </x:c>
      <x:c r="N398" s="33" t="str">
        <x:v>False</x:v>
      </x:c>
      <x:c r="O398" s="45" t="n">
        <x:v>14</x:v>
      </x:c>
    </x:row>
    <x:row r="399">
      <x:c r="A399" s="33" t="str">
        <x:v>XIV</x:v>
      </x:c>
      <x:c r="B399" s="33" t="str">
        <x:v>N10-N16</x:v>
      </x:c>
      <x:c r="C399" s="51" t="str">
        <x:v>Тубулоинтерстициальные болезни почек</x:v>
      </x:c>
      <x:c r="D399" s="33" t="str">
        <x:v>N12</x:v>
      </x:c>
      <x:c r="E399" s="39" t="n">
        <x:v>37</x:v>
      </x:c>
      <x:c r="F399" s="45" t="n">
        <x:v>78</x:v>
      </x:c>
      <x:c r="G399" s="45" t="n">
        <x:v>70</x:v>
      </x:c>
      <x:c r="H399" s="45" t="n">
        <x:v>83</x:v>
      </x:c>
      <x:c r="I399" s="45" t="n">
        <x:v>73.45945945945945</x:v>
      </x:c>
      <x:c r="J399" s="45" t="n">
        <x:v>0</x:v>
      </x:c>
      <x:c r="K399" s="45" t="n">
        <x:v>96</x:v>
      </x:c>
      <x:c r="L399" s="51" t="str">
        <x:v>Тубулоинтерстициальный нефрит, не уточненный как острый или хронический</x:v>
      </x:c>
      <x:c r="M399" s="45" t="n">
        <x:v>13</x:v>
      </x:c>
      <x:c r="N399" s="33" t="str">
        <x:v>False</x:v>
      </x:c>
      <x:c r="O399" s="45" t="n">
        <x:v>14</x:v>
      </x:c>
    </x:row>
    <x:row r="400">
      <x:c r="A400" s="33" t="str">
        <x:v>XIV</x:v>
      </x:c>
      <x:c r="B400" s="33" t="str">
        <x:v>N10-N16</x:v>
      </x:c>
      <x:c r="C400" s="51" t="str">
        <x:v>Тубулоинтерстициальные болезни почек</x:v>
      </x:c>
      <x:c r="D400" s="33" t="str">
        <x:v>N13</x:v>
      </x:c>
      <x:c r="E400" s="39" t="n">
        <x:v>43</x:v>
      </x:c>
      <x:c r="F400" s="45" t="n">
        <x:v>73</x:v>
      </x:c>
      <x:c r="G400" s="45" t="n">
        <x:v>63</x:v>
      </x:c>
      <x:c r="H400" s="45" t="n">
        <x:v>79.5</x:v>
      </x:c>
      <x:c r="I400" s="45" t="n">
        <x:v>71.13953488372093</x:v>
      </x:c>
      <x:c r="J400" s="45" t="n">
        <x:v>36</x:v>
      </x:c>
      <x:c r="K400" s="45" t="n">
        <x:v>93</x:v>
      </x:c>
      <x:c r="L400" s="51" t="str">
        <x:v>Пионефроз</x:v>
      </x:c>
      <x:c r="M400" s="45" t="n">
        <x:v>16.5</x:v>
      </x:c>
      <x:c r="N400" s="33" t="str">
        <x:v>False</x:v>
      </x:c>
      <x:c r="O400" s="45" t="n">
        <x:v>14</x:v>
      </x:c>
    </x:row>
    <x:row r="401">
      <x:c r="A401" s="33" t="str">
        <x:v>XIV</x:v>
      </x:c>
      <x:c r="B401" s="33" t="str">
        <x:v>N10-N16</x:v>
      </x:c>
      <x:c r="C401" s="51" t="str">
        <x:v>Тубулоинтерстициальные болезни почек</x:v>
      </x:c>
      <x:c r="D401" s="33" t="str">
        <x:v>N14</x:v>
      </x:c>
      <x:c r="E401" s="39" t="n">
        <x:v>4</x:v>
      </x:c>
      <x:c r="F401" s="45" t="n">
        <x:v>64.5</x:v>
      </x:c>
      <x:c r="G401" s="45" t="n">
        <x:v>64</x:v>
      </x:c>
      <x:c r="H401" s="45" t="n">
        <x:v>65.25</x:v>
      </x:c>
      <x:c r="I401" s="45" t="n">
        <x:v>64.75</x:v>
      </x:c>
      <x:c r="J401" s="45" t="n">
        <x:v>64</x:v>
      </x:c>
      <x:c r="K401" s="45" t="n">
        <x:v>66</x:v>
      </x:c>
      <x:c r="L401" s="51" t="str">
        <x:v>Токсическая нефропатия</x:v>
      </x:c>
      <x:c r="M401" s="45" t="n">
        <x:v>1.25</x:v>
      </x:c>
      <x:c r="N401" s="33" t="str">
        <x:v>True</x:v>
      </x:c>
      <x:c r="O401" s="45" t="n">
        <x:v>14</x:v>
      </x:c>
    </x:row>
    <x:row r="402">
      <x:c r="A402" s="33" t="str">
        <x:v>XIV</x:v>
      </x:c>
      <x:c r="B402" s="33" t="str">
        <x:v>N10-N16</x:v>
      </x:c>
      <x:c r="C402" s="51" t="str">
        <x:v>Тубулоинтерстициальные болезни почек</x:v>
      </x:c>
      <x:c r="D402" s="33" t="str">
        <x:v>N15</x:v>
      </x:c>
      <x:c r="E402" s="39" t="n">
        <x:v>45</x:v>
      </x:c>
      <x:c r="F402" s="45" t="n">
        <x:v>69</x:v>
      </x:c>
      <x:c r="G402" s="45" t="n">
        <x:v>62</x:v>
      </x:c>
      <x:c r="H402" s="45" t="n">
        <x:v>74</x:v>
      </x:c>
      <x:c r="I402" s="45" t="n">
        <x:v>67.73333333333333</x:v>
      </x:c>
      <x:c r="J402" s="45" t="n">
        <x:v>41</x:v>
      </x:c>
      <x:c r="K402" s="45" t="n">
        <x:v>90</x:v>
      </x:c>
      <x:c r="L402" s="51" t="str">
        <x:v>Абсцесс почки и околопочечной клетчатки</x:v>
      </x:c>
      <x:c r="M402" s="45" t="n">
        <x:v>12</x:v>
      </x:c>
      <x:c r="N402" s="33" t="str">
        <x:v>False</x:v>
      </x:c>
      <x:c r="O402" s="45" t="n">
        <x:v>14</x:v>
      </x:c>
    </x:row>
    <x:row r="403">
      <x:c r="A403" s="33" t="str">
        <x:v>XIV</x:v>
      </x:c>
      <x:c r="B403" s="33" t="str">
        <x:v>N17-N19</x:v>
      </x:c>
      <x:c r="C403" s="51" t="str">
        <x:v>Почечная недостаточность</x:v>
      </x:c>
      <x:c r="D403" s="33" t="str">
        <x:v>N18</x:v>
      </x:c>
      <x:c r="E403" s="39" t="n">
        <x:v>47</x:v>
      </x:c>
      <x:c r="F403" s="45" t="n">
        <x:v>77</x:v>
      </x:c>
      <x:c r="G403" s="45" t="n">
        <x:v>63</x:v>
      </x:c>
      <x:c r="H403" s="45" t="n">
        <x:v>83</x:v>
      </x:c>
      <x:c r="I403" s="45" t="n">
        <x:v>73.38297872340425</x:v>
      </x:c>
      <x:c r="J403" s="45" t="n">
        <x:v>41</x:v>
      </x:c>
      <x:c r="K403" s="45" t="n">
        <x:v>93</x:v>
      </x:c>
      <x:c r="L403" s="51" t="str">
        <x:v>Терминальная стадия почечной недостаточности</x:v>
      </x:c>
      <x:c r="M403" s="45" t="n">
        <x:v>20</x:v>
      </x:c>
      <x:c r="N403" s="33" t="str">
        <x:v>False</x:v>
      </x:c>
      <x:c r="O403" s="45" t="n">
        <x:v>14</x:v>
      </x:c>
    </x:row>
    <x:row r="404">
      <x:c r="A404" s="33" t="str">
        <x:v>XIV</x:v>
      </x:c>
      <x:c r="B404" s="33" t="str">
        <x:v>N20-N23</x:v>
      </x:c>
      <x:c r="C404" s="51" t="str">
        <x:v>Мочекаменная болезнь</x:v>
      </x:c>
      <x:c r="D404" s="33" t="str">
        <x:v>N20</x:v>
      </x:c>
      <x:c r="E404" s="39" t="n">
        <x:v>289</x:v>
      </x:c>
      <x:c r="F404" s="45" t="n">
        <x:v>73</x:v>
      </x:c>
      <x:c r="G404" s="45" t="n">
        <x:v>67</x:v>
      </x:c>
      <x:c r="H404" s="45" t="n">
        <x:v>82</x:v>
      </x:c>
      <x:c r="I404" s="45" t="n">
        <x:v>73.82698961937716</x:v>
      </x:c>
      <x:c r="J404" s="45" t="n">
        <x:v>35</x:v>
      </x:c>
      <x:c r="K404" s="45" t="n">
        <x:v>97</x:v>
      </x:c>
      <x:c r="L404" s="51" t="str">
        <x:v>Камни почки</x:v>
      </x:c>
      <x:c r="M404" s="45" t="n">
        <x:v>15</x:v>
      </x:c>
      <x:c r="N404" s="33" t="str">
        <x:v>False</x:v>
      </x:c>
      <x:c r="O404" s="45" t="n">
        <x:v>14</x:v>
      </x:c>
    </x:row>
    <x:row r="405">
      <x:c r="A405" s="33" t="str">
        <x:v>XIV</x:v>
      </x:c>
      <x:c r="B405" s="33" t="str">
        <x:v>N20-N23</x:v>
      </x:c>
      <x:c r="C405" s="51" t="str">
        <x:v>Мочекаменная болезнь</x:v>
      </x:c>
      <x:c r="D405" s="33" t="str">
        <x:v>N21</x:v>
      </x:c>
      <x:c r="E405" s="39" t="n">
        <x:v>13</x:v>
      </x:c>
      <x:c r="F405" s="45" t="n">
        <x:v>83</x:v>
      </x:c>
      <x:c r="G405" s="45" t="n">
        <x:v>80</x:v>
      </x:c>
      <x:c r="H405" s="45" t="n">
        <x:v>86</x:v>
      </x:c>
      <x:c r="I405" s="45" t="n">
        <x:v>80.38461538461539</x:v>
      </x:c>
      <x:c r="J405" s="45" t="n">
        <x:v>60</x:v>
      </x:c>
      <x:c r="K405" s="45" t="n">
        <x:v>90</x:v>
      </x:c>
      <x:c r="L405" s="51" t="str">
        <x:v>Камни в мочевом пузыре</x:v>
      </x:c>
      <x:c r="M405" s="45" t="n">
        <x:v>6</x:v>
      </x:c>
      <x:c r="N405" s="33" t="str">
        <x:v>False</x:v>
      </x:c>
      <x:c r="O405" s="45" t="n">
        <x:v>14</x:v>
      </x:c>
    </x:row>
    <x:row r="406">
      <x:c r="A406" s="33" t="str">
        <x:v>XIV</x:v>
      </x:c>
      <x:c r="B406" s="33" t="str">
        <x:v>N25-N29</x:v>
      </x:c>
      <x:c r="C406" s="51" t="str">
        <x:v>Другие болезни почки и мочеточника</x:v>
      </x:c>
      <x:c r="D406" s="33" t="str">
        <x:v>N25</x:v>
      </x:c>
      <x:c r="E406" s="39" t="n">
        <x:v>1</x:v>
      </x:c>
      <x:c r="F406" s="45" t="n">
        <x:v>82</x:v>
      </x:c>
      <x:c r="G406" s="45" t="n">
        <x:v>82</x:v>
      </x:c>
      <x:c r="H406" s="45" t="n">
        <x:v>82</x:v>
      </x:c>
      <x:c r="I406" s="45" t="n">
        <x:v>82</x:v>
      </x:c>
      <x:c r="J406" s="45" t="n">
        <x:v>82</x:v>
      </x:c>
      <x:c r="K406" s="45" t="n">
        <x:v>82</x:v>
      </x:c>
      <x:c r="L406" s="51" t="str">
        <x:v>Почечная остеодистрофия</x:v>
      </x:c>
      <x:c r="M406" s="45" t="n">
        <x:v>0</x:v>
      </x:c>
      <x:c r="N406" s="33" t="str">
        <x:v>True</x:v>
      </x:c>
      <x:c r="O406" s="45" t="n">
        <x:v>14</x:v>
      </x:c>
    </x:row>
    <x:row r="407">
      <x:c r="A407" s="33" t="str">
        <x:v>XIV</x:v>
      </x:c>
      <x:c r="B407" s="33" t="str">
        <x:v>N25-N29</x:v>
      </x:c>
      <x:c r="C407" s="51" t="str">
        <x:v>Другие болезни почки и мочеточника</x:v>
      </x:c>
      <x:c r="D407" s="33" t="str">
        <x:v>N26</x:v>
      </x:c>
      <x:c r="E407" s="39" t="n">
        <x:v>261</x:v>
      </x:c>
      <x:c r="F407" s="45" t="n">
        <x:v>79</x:v>
      </x:c>
      <x:c r="G407" s="45" t="n">
        <x:v>69</x:v>
      </x:c>
      <x:c r="H407" s="45" t="n">
        <x:v>85</x:v>
      </x:c>
      <x:c r="I407" s="45" t="n">
        <x:v>76.47892720306514</x:v>
      </x:c>
      <x:c r="J407" s="45" t="n">
        <x:v>42</x:v>
      </x:c>
      <x:c r="K407" s="45" t="n">
        <x:v>100</x:v>
      </x:c>
      <x:c r="L407" s="51" t="str">
        <x:v>Сморщенная почка неуточненная</x:v>
      </x:c>
      <x:c r="M407" s="45" t="n">
        <x:v>16</x:v>
      </x:c>
      <x:c r="N407" s="33" t="str">
        <x:v>False</x:v>
      </x:c>
      <x:c r="O407" s="45" t="n">
        <x:v>14</x:v>
      </x:c>
    </x:row>
    <x:row r="408">
      <x:c r="A408" s="33" t="str">
        <x:v>XIV</x:v>
      </x:c>
      <x:c r="B408" s="33" t="str">
        <x:v>N25-N29</x:v>
      </x:c>
      <x:c r="C408" s="51" t="str">
        <x:v>Другие болезни почки и мочеточника</x:v>
      </x:c>
      <x:c r="D408" s="33" t="str">
        <x:v>N27</x:v>
      </x:c>
      <x:c r="E408" s="39" t="n">
        <x:v>6</x:v>
      </x:c>
      <x:c r="F408" s="45" t="n">
        <x:v>91</x:v>
      </x:c>
      <x:c r="G408" s="45" t="n">
        <x:v>74.25</x:v>
      </x:c>
      <x:c r="H408" s="45" t="n">
        <x:v>94.25</x:v>
      </x:c>
      <x:c r="I408" s="45" t="n">
        <x:v>84.33333333333333</x:v>
      </x:c>
      <x:c r="J408" s="45" t="n">
        <x:v>60</x:v>
      </x:c>
      <x:c r="K408" s="45" t="n">
        <x:v>100</x:v>
      </x:c>
      <x:c r="L408" s="51" t="str">
        <x:v>Маленькая почка двусторонняя</x:v>
      </x:c>
      <x:c r="M408" s="45" t="n">
        <x:v>20</x:v>
      </x:c>
      <x:c r="N408" s="33" t="str">
        <x:v>False</x:v>
      </x:c>
      <x:c r="O408" s="45" t="n">
        <x:v>14</x:v>
      </x:c>
    </x:row>
    <x:row r="409">
      <x:c r="A409" s="33" t="str">
        <x:v>XIV</x:v>
      </x:c>
      <x:c r="B409" s="33" t="str">
        <x:v>N25-N29</x:v>
      </x:c>
      <x:c r="C409" s="51" t="str">
        <x:v>Другие болезни почки и мочеточника</x:v>
      </x:c>
      <x:c r="D409" s="33" t="str">
        <x:v>N28</x:v>
      </x:c>
      <x:c r="E409" s="39" t="n">
        <x:v>182</x:v>
      </x:c>
      <x:c r="F409" s="45" t="n">
        <x:v>83</x:v>
      </x:c>
      <x:c r="G409" s="45" t="n">
        <x:v>72</x:v>
      </x:c>
      <x:c r="H409" s="45" t="n">
        <x:v>90</x:v>
      </x:c>
      <x:c r="I409" s="45" t="n">
        <x:v>80.48351648351648</x:v>
      </x:c>
      <x:c r="J409" s="45" t="n">
        <x:v>43</x:v>
      </x:c>
      <x:c r="K409" s="45" t="n">
        <x:v>103</x:v>
      </x:c>
      <x:c r="L409" s="51" t="str">
        <x:v>Киста почки</x:v>
      </x:c>
      <x:c r="M409" s="45" t="n">
        <x:v>18</x:v>
      </x:c>
      <x:c r="N409" s="33" t="str">
        <x:v>False</x:v>
      </x:c>
      <x:c r="O409" s="45" t="n">
        <x:v>14</x:v>
      </x:c>
    </x:row>
    <x:row r="410">
      <x:c r="A410" s="33" t="str">
        <x:v>XIV</x:v>
      </x:c>
      <x:c r="B410" s="33" t="str">
        <x:v>N30-N39</x:v>
      </x:c>
      <x:c r="C410" s="51" t="str">
        <x:v>Другие болезни мочевыделительной системы</x:v>
      </x:c>
      <x:c r="D410" s="33" t="str">
        <x:v>N30</x:v>
      </x:c>
      <x:c r="E410" s="39" t="n">
        <x:v>80</x:v>
      </x:c>
      <x:c r="F410" s="45" t="n">
        <x:v>77</x:v>
      </x:c>
      <x:c r="G410" s="45" t="n">
        <x:v>67</x:v>
      </x:c>
      <x:c r="H410" s="45" t="n">
        <x:v>85</x:v>
      </x:c>
      <x:c r="I410" s="45" t="n">
        <x:v>75.125</x:v>
      </x:c>
      <x:c r="J410" s="45" t="n">
        <x:v>41</x:v>
      </x:c>
      <x:c r="K410" s="45" t="n">
        <x:v>97</x:v>
      </x:c>
      <x:c r="L410" s="51" t="str">
        <x:v>Интерстициальный цистит (хронический)</x:v>
      </x:c>
      <x:c r="M410" s="45" t="n">
        <x:v>18</x:v>
      </x:c>
      <x:c r="N410" s="33" t="str">
        <x:v>False</x:v>
      </x:c>
      <x:c r="O410" s="45" t="n">
        <x:v>14</x:v>
      </x:c>
    </x:row>
    <x:row r="411">
      <x:c r="A411" s="33" t="str">
        <x:v>XIV</x:v>
      </x:c>
      <x:c r="B411" s="33" t="str">
        <x:v>N30-N39</x:v>
      </x:c>
      <x:c r="C411" s="51" t="str">
        <x:v>Другие болезни мочевыделительной системы</x:v>
      </x:c>
      <x:c r="D411" s="33" t="str">
        <x:v>N32</x:v>
      </x:c>
      <x:c r="E411" s="39" t="n">
        <x:v>1</x:v>
      </x:c>
      <x:c r="F411" s="45" t="n">
        <x:v>72</x:v>
      </x:c>
      <x:c r="G411" s="45" t="n">
        <x:v>72</x:v>
      </x:c>
      <x:c r="H411" s="45" t="n">
        <x:v>72</x:v>
      </x:c>
      <x:c r="I411" s="45" t="n">
        <x:v>72</x:v>
      </x:c>
      <x:c r="J411" s="45" t="n">
        <x:v>72</x:v>
      </x:c>
      <x:c r="K411" s="45" t="n">
        <x:v>72</x:v>
      </x:c>
      <x:c r="L411" s="51" t="str">
        <x:v>Дивертикул мочевого пузыря</x:v>
      </x:c>
      <x:c r="M411" s="45" t="n">
        <x:v>0</x:v>
      </x:c>
      <x:c r="N411" s="33" t="str">
        <x:v>True</x:v>
      </x:c>
      <x:c r="O411" s="45" t="n">
        <x:v>14</x:v>
      </x:c>
    </x:row>
    <x:row r="412">
      <x:c r="A412" s="33" t="str">
        <x:v>XIV</x:v>
      </x:c>
      <x:c r="B412" s="33" t="str">
        <x:v>N30-N39</x:v>
      </x:c>
      <x:c r="C412" s="51" t="str">
        <x:v>Другие болезни мочевыделительной системы</x:v>
      </x:c>
      <x:c r="D412" s="33" t="str">
        <x:v>N35</x:v>
      </x:c>
      <x:c r="E412" s="39" t="n">
        <x:v>3</x:v>
      </x:c>
      <x:c r="F412" s="45" t="n">
        <x:v>78</x:v>
      </x:c>
      <x:c r="G412" s="45" t="n">
        <x:v>73.5</x:v>
      </x:c>
      <x:c r="H412" s="45" t="n">
        <x:v>81.5</x:v>
      </x:c>
      <x:c r="I412" s="45" t="n">
        <x:v>77.33333333333333</x:v>
      </x:c>
      <x:c r="J412" s="45" t="n">
        <x:v>69</x:v>
      </x:c>
      <x:c r="K412" s="45" t="n">
        <x:v>85</x:v>
      </x:c>
      <x:c r="L412" s="51" t="str">
        <x:v>Другая стриктура уретры</x:v>
      </x:c>
      <x:c r="M412" s="45" t="n">
        <x:v>8</x:v>
      </x:c>
      <x:c r="N412" s="33" t="str">
        <x:v>True</x:v>
      </x:c>
      <x:c r="O412" s="45" t="n">
        <x:v>14</x:v>
      </x:c>
    </x:row>
    <x:row r="413">
      <x:c r="A413" s="33" t="str">
        <x:v>XIV</x:v>
      </x:c>
      <x:c r="B413" s="33" t="str">
        <x:v>N30-N39</x:v>
      </x:c>
      <x:c r="C413" s="51" t="str">
        <x:v>Другие болезни мочевыделительной системы</x:v>
      </x:c>
      <x:c r="D413" s="33" t="str">
        <x:v>N39</x:v>
      </x:c>
      <x:c r="E413" s="39" t="n">
        <x:v>3</x:v>
      </x:c>
      <x:c r="F413" s="45" t="n">
        <x:v>82</x:v>
      </x:c>
      <x:c r="G413" s="45" t="n">
        <x:v>79.5</x:v>
      </x:c>
      <x:c r="H413" s="45" t="n">
        <x:v>82</x:v>
      </x:c>
      <x:c r="I413" s="45" t="n">
        <x:v>80.33333333333333</x:v>
      </x:c>
      <x:c r="J413" s="45" t="n">
        <x:v>77</x:v>
      </x:c>
      <x:c r="K413" s="45" t="n">
        <x:v>82</x:v>
      </x:c>
      <x:c r="L413" s="51" t="str">
        <x:v>Другие болезни мочевыводящей системы</x:v>
      </x:c>
      <x:c r="M413" s="45" t="n">
        <x:v>2.5</x:v>
      </x:c>
      <x:c r="N413" s="33" t="str">
        <x:v>True</x:v>
      </x:c>
      <x:c r="O413" s="45" t="n">
        <x:v>14</x:v>
      </x:c>
    </x:row>
    <x:row r="414">
      <x:c r="A414" s="33" t="str">
        <x:v>XIV</x:v>
      </x:c>
      <x:c r="B414" s="33" t="str">
        <x:v>N40-N51</x:v>
      </x:c>
      <x:c r="C414" s="51" t="str">
        <x:v>Болезни мужских половых органов</x:v>
      </x:c>
      <x:c r="D414" s="33" t="str">
        <x:v>N40</x:v>
      </x:c>
      <x:c r="E414" s="39" t="n">
        <x:v>194</x:v>
      </x:c>
      <x:c r="F414" s="45" t="n">
        <x:v>77.5</x:v>
      </x:c>
      <x:c r="G414" s="45" t="n">
        <x:v>72</x:v>
      </x:c>
      <x:c r="H414" s="45" t="n">
        <x:v>84</x:v>
      </x:c>
      <x:c r="I414" s="45" t="n">
        <x:v>77.65979381443299</x:v>
      </x:c>
      <x:c r="J414" s="45" t="n">
        <x:v>43</x:v>
      </x:c>
      <x:c r="K414" s="45" t="n">
        <x:v>96</x:v>
      </x:c>
      <x:c r="L414" s="51" t="str">
        <x:v>Гиперплазия предстательной железы</x:v>
      </x:c>
      <x:c r="M414" s="45" t="n">
        <x:v>12</x:v>
      </x:c>
      <x:c r="N414" s="33" t="str">
        <x:v>False</x:v>
      </x:c>
      <x:c r="O414" s="45" t="n">
        <x:v>14</x:v>
      </x:c>
    </x:row>
    <x:row r="415">
      <x:c r="A415" s="33" t="str">
        <x:v>XIV</x:v>
      </x:c>
      <x:c r="B415" s="33" t="str">
        <x:v>N40-N51</x:v>
      </x:c>
      <x:c r="C415" s="51" t="str">
        <x:v>Болезни мужских половых органов</x:v>
      </x:c>
      <x:c r="D415" s="33" t="str">
        <x:v>N41</x:v>
      </x:c>
      <x:c r="E415" s="39" t="n">
        <x:v>1</x:v>
      </x:c>
      <x:c r="F415" s="45" t="n">
        <x:v>66</x:v>
      </x:c>
      <x:c r="G415" s="45" t="n">
        <x:v>66</x:v>
      </x:c>
      <x:c r="H415" s="45" t="n">
        <x:v>66</x:v>
      </x:c>
      <x:c r="I415" s="45" t="n">
        <x:v>66</x:v>
      </x:c>
      <x:c r="J415" s="45" t="n">
        <x:v>66</x:v>
      </x:c>
      <x:c r="K415" s="45" t="n">
        <x:v>66</x:v>
      </x:c>
      <x:c r="L415" s="51" t="str">
        <x:v>Абсцесс предстательной железы</x:v>
      </x:c>
      <x:c r="M415" s="45" t="n">
        <x:v>0</x:v>
      </x:c>
      <x:c r="N415" s="33" t="str">
        <x:v>True</x:v>
      </x:c>
      <x:c r="O415" s="45" t="n">
        <x:v>14</x:v>
      </x:c>
    </x:row>
    <x:row r="416">
      <x:c r="A416" s="33" t="str">
        <x:v>XIV</x:v>
      </x:c>
      <x:c r="B416" s="33" t="str">
        <x:v>N40-N51</x:v>
      </x:c>
      <x:c r="C416" s="51" t="str">
        <x:v>Болезни мужских половых органов</x:v>
      </x:c>
      <x:c r="D416" s="33" t="str">
        <x:v>N45</x:v>
      </x:c>
      <x:c r="E416" s="39" t="n">
        <x:v>1</x:v>
      </x:c>
      <x:c r="F416" s="45" t="n">
        <x:v>57</x:v>
      </x:c>
      <x:c r="G416" s="45" t="n">
        <x:v>57</x:v>
      </x:c>
      <x:c r="H416" s="45" t="n">
        <x:v>57</x:v>
      </x:c>
      <x:c r="I416" s="45" t="n">
        <x:v>57</x:v>
      </x:c>
      <x:c r="J416" s="45" t="n">
        <x:v>57</x:v>
      </x:c>
      <x:c r="K416" s="45" t="n">
        <x:v>57</x:v>
      </x:c>
      <x:c r="L416" s="51" t="str">
        <x:v>Эпидидимит</x:v>
      </x:c>
      <x:c r="M416" s="45" t="n">
        <x:v>0</x:v>
      </x:c>
      <x:c r="N416" s="33" t="str">
        <x:v>True</x:v>
      </x:c>
      <x:c r="O416" s="45" t="n">
        <x:v>14</x:v>
      </x:c>
    </x:row>
    <x:row r="417">
      <x:c r="A417" s="33" t="str">
        <x:v>XIV</x:v>
      </x:c>
      <x:c r="B417" s="33" t="str">
        <x:v>N40-N51</x:v>
      </x:c>
      <x:c r="C417" s="51" t="str">
        <x:v>Болезни мужских половых органов</x:v>
      </x:c>
      <x:c r="D417" s="33" t="str">
        <x:v>N48</x:v>
      </x:c>
      <x:c r="E417" s="39" t="n">
        <x:v>3</x:v>
      </x:c>
      <x:c r="F417" s="45" t="n">
        <x:v>77</x:v>
      </x:c>
      <x:c r="G417" s="45" t="n">
        <x:v>61</x:v>
      </x:c>
      <x:c r="H417" s="45" t="n">
        <x:v>80</x:v>
      </x:c>
      <x:c r="I417" s="45" t="n">
        <x:v>68.33333333333333</x:v>
      </x:c>
      <x:c r="J417" s="45" t="n">
        <x:v>45</x:v>
      </x:c>
      <x:c r="K417" s="45" t="n">
        <x:v>83</x:v>
      </x:c>
      <x:c r="L417" s="51" t="str">
        <x:v>Баланит</x:v>
      </x:c>
      <x:c r="M417" s="45" t="n">
        <x:v>19</x:v>
      </x:c>
      <x:c r="N417" s="33" t="str">
        <x:v>True</x:v>
      </x:c>
      <x:c r="O417" s="45" t="n">
        <x:v>14</x:v>
      </x:c>
    </x:row>
    <x:row r="418">
      <x:c r="A418" s="33" t="str">
        <x:v>XIV</x:v>
      </x:c>
      <x:c r="B418" s="33" t="str">
        <x:v>N40-N51</x:v>
      </x:c>
      <x:c r="C418" s="51" t="str">
        <x:v>Болезни мужских половых органов</x:v>
      </x:c>
      <x:c r="D418" s="33" t="str">
        <x:v>N49</x:v>
      </x:c>
      <x:c r="E418" s="39" t="n">
        <x:v>5</x:v>
      </x:c>
      <x:c r="F418" s="45" t="n">
        <x:v>72</x:v>
      </x:c>
      <x:c r="G418" s="45" t="n">
        <x:v>60</x:v>
      </x:c>
      <x:c r="H418" s="45" t="n">
        <x:v>74</x:v>
      </x:c>
      <x:c r="I418" s="45" t="n">
        <x:v>65.6</x:v>
      </x:c>
      <x:c r="J418" s="45" t="n">
        <x:v>48</x:v>
      </x:c>
      <x:c r="K418" s="45" t="n">
        <x:v>74</x:v>
      </x:c>
      <x:c r="L418" s="51" t="str">
        <x:v>Воспалительные болезни мошонки</x:v>
      </x:c>
      <x:c r="M418" s="45" t="n">
        <x:v>14</x:v>
      </x:c>
      <x:c r="N418" s="33" t="str">
        <x:v>False</x:v>
      </x:c>
      <x:c r="O418" s="45" t="n">
        <x:v>14</x:v>
      </x:c>
    </x:row>
    <x:row r="419">
      <x:c r="A419" s="33" t="str">
        <x:v>XIV</x:v>
      </x:c>
      <x:c r="B419" s="33" t="str">
        <x:v>N60-N64</x:v>
      </x:c>
      <x:c r="C419" s="51" t="str">
        <x:v>Болезни молочной железы</x:v>
      </x:c>
      <x:c r="D419" s="33" t="str">
        <x:v>N61</x:v>
      </x:c>
      <x:c r="E419" s="39" t="n">
        <x:v>3</x:v>
      </x:c>
      <x:c r="F419" s="45" t="n">
        <x:v>72</x:v>
      </x:c>
      <x:c r="G419" s="45" t="n">
        <x:v>66</x:v>
      </x:c>
      <x:c r="H419" s="45" t="n">
        <x:v>74</x:v>
      </x:c>
      <x:c r="I419" s="45" t="n">
        <x:v>69.33333333333333</x:v>
      </x:c>
      <x:c r="J419" s="45" t="n">
        <x:v>60</x:v>
      </x:c>
      <x:c r="K419" s="45" t="n">
        <x:v>76</x:v>
      </x:c>
      <x:c r="L419" s="51" t="str">
        <x:v>Воспалительные болезни молочной железы</x:v>
      </x:c>
      <x:c r="M419" s="45" t="n">
        <x:v>8</x:v>
      </x:c>
      <x:c r="N419" s="33" t="str">
        <x:v>True</x:v>
      </x:c>
      <x:c r="O419" s="45" t="n">
        <x:v>14</x:v>
      </x:c>
    </x:row>
    <x:row r="420">
      <x:c r="A420" s="33" t="str">
        <x:v>XIV</x:v>
      </x:c>
      <x:c r="B420" s="33" t="str">
        <x:v>N70-N77</x:v>
      </x:c>
      <x:c r="C420" s="51" t="str">
        <x:v>Воспалительные болезни женских тазовых органов</x:v>
      </x:c>
      <x:c r="D420" s="33" t="str">
        <x:v>N70</x:v>
      </x:c>
      <x:c r="E420" s="39" t="n">
        <x:v>6</x:v>
      </x:c>
      <x:c r="F420" s="45" t="n">
        <x:v>52</x:v>
      </x:c>
      <x:c r="G420" s="45" t="n">
        <x:v>46.5</x:v>
      </x:c>
      <x:c r="H420" s="45" t="n">
        <x:v>63.5</x:v>
      </x:c>
      <x:c r="I420" s="45" t="n">
        <x:v>56</x:v>
      </x:c>
      <x:c r="J420" s="45" t="n">
        <x:v>42</x:v>
      </x:c>
      <x:c r="K420" s="45" t="n">
        <x:v>78</x:v>
      </x:c>
      <x:c r="L420" s="51" t="str">
        <x:v>Острый сальпингит и оофорит</x:v>
      </x:c>
      <x:c r="M420" s="45" t="n">
        <x:v>17</x:v>
      </x:c>
      <x:c r="N420" s="33" t="str">
        <x:v>False</x:v>
      </x:c>
      <x:c r="O420" s="45" t="n">
        <x:v>14</x:v>
      </x:c>
    </x:row>
    <x:row r="421">
      <x:c r="A421" s="33" t="str">
        <x:v>XIV</x:v>
      </x:c>
      <x:c r="B421" s="33" t="str">
        <x:v>N70-N77</x:v>
      </x:c>
      <x:c r="C421" s="51" t="str">
        <x:v>Воспалительные болезни женских тазовых органов</x:v>
      </x:c>
      <x:c r="D421" s="33" t="str">
        <x:v>N71</x:v>
      </x:c>
      <x:c r="E421" s="39" t="n">
        <x:v>5</x:v>
      </x:c>
      <x:c r="F421" s="45" t="n">
        <x:v>67</x:v>
      </x:c>
      <x:c r="G421" s="45" t="n">
        <x:v>39</x:v>
      </x:c>
      <x:c r="H421" s="45" t="n">
        <x:v>84</x:v>
      </x:c>
      <x:c r="I421" s="45" t="n">
        <x:v>63.2</x:v>
      </x:c>
      <x:c r="J421" s="45" t="n">
        <x:v>37</x:v>
      </x:c>
      <x:c r="K421" s="45" t="n">
        <x:v>89</x:v>
      </x:c>
      <x:c r="L421" s="51" t="str">
        <x:v>Острая воспалительная болезнь матки</x:v>
      </x:c>
      <x:c r="M421" s="45" t="n">
        <x:v>45</x:v>
      </x:c>
      <x:c r="N421" s="33" t="str">
        <x:v>False</x:v>
      </x:c>
      <x:c r="O421" s="45" t="n">
        <x:v>14</x:v>
      </x:c>
    </x:row>
    <x:row r="422">
      <x:c r="A422" s="33" t="str">
        <x:v>XIV</x:v>
      </x:c>
      <x:c r="B422" s="33" t="str">
        <x:v>N70-N77</x:v>
      </x:c>
      <x:c r="C422" s="51" t="str">
        <x:v>Воспалительные болезни женских тазовых органов</x:v>
      </x:c>
      <x:c r="D422" s="33" t="str">
        <x:v>N73</x:v>
      </x:c>
      <x:c r="E422" s="39" t="n">
        <x:v>2</x:v>
      </x:c>
      <x:c r="F422" s="45" t="n">
        <x:v>68.5</x:v>
      </x:c>
      <x:c r="G422" s="45" t="n">
        <x:v>68.25</x:v>
      </x:c>
      <x:c r="H422" s="45" t="n">
        <x:v>68.75</x:v>
      </x:c>
      <x:c r="I422" s="45" t="n">
        <x:v>68.5</x:v>
      </x:c>
      <x:c r="J422" s="45" t="n">
        <x:v>68</x:v>
      </x:c>
      <x:c r="K422" s="45" t="n">
        <x:v>69</x:v>
      </x:c>
      <x:c r="L422" s="51" t="str">
        <x:v>Другие уточненные воспалительные болезни женских тазовых органов</x:v>
      </x:c>
      <x:c r="M422" s="45" t="n">
        <x:v>0.5</x:v>
      </x:c>
      <x:c r="N422" s="33" t="str">
        <x:v>True</x:v>
      </x:c>
      <x:c r="O422" s="45" t="n">
        <x:v>14</x:v>
      </x:c>
    </x:row>
    <x:row r="423">
      <x:c r="A423" s="33" t="str">
        <x:v>XIV</x:v>
      </x:c>
      <x:c r="B423" s="33" t="str">
        <x:v>N80-N98</x:v>
      </x:c>
      <x:c r="C423" s="51" t="str">
        <x:v>Невоспалительные болезни женских половых органов</x:v>
      </x:c>
      <x:c r="D423" s="33" t="str">
        <x:v>N80</x:v>
      </x:c>
      <x:c r="E423" s="39" t="n">
        <x:v>2</x:v>
      </x:c>
      <x:c r="F423" s="45" t="n">
        <x:v>42.5</x:v>
      </x:c>
      <x:c r="G423" s="45" t="n">
        <x:v>42.25</x:v>
      </x:c>
      <x:c r="H423" s="45" t="n">
        <x:v>42.75</x:v>
      </x:c>
      <x:c r="I423" s="45" t="n">
        <x:v>42.5</x:v>
      </x:c>
      <x:c r="J423" s="45" t="n">
        <x:v>42</x:v>
      </x:c>
      <x:c r="K423" s="45" t="n">
        <x:v>43</x:v>
      </x:c>
      <x:c r="L423" s="51" t="str">
        <x:v>Эндометриоз матки</x:v>
      </x:c>
      <x:c r="M423" s="45" t="n">
        <x:v>0.5</x:v>
      </x:c>
      <x:c r="N423" s="33" t="str">
        <x:v>True</x:v>
      </x:c>
      <x:c r="O423" s="45" t="n">
        <x:v>14</x:v>
      </x:c>
    </x:row>
    <x:row r="424">
      <x:c r="A424" s="33" t="str">
        <x:v>XIV</x:v>
      </x:c>
      <x:c r="B424" s="33" t="str">
        <x:v>N80-N98</x:v>
      </x:c>
      <x:c r="C424" s="51" t="str">
        <x:v>Невоспалительные болезни женских половых органов</x:v>
      </x:c>
      <x:c r="D424" s="33" t="str">
        <x:v>N83</x:v>
      </x:c>
      <x:c r="E424" s="39" t="n">
        <x:v>2</x:v>
      </x:c>
      <x:c r="F424" s="45" t="n">
        <x:v>41.5</x:v>
      </x:c>
      <x:c r="G424" s="45" t="n">
        <x:v>33.25</x:v>
      </x:c>
      <x:c r="H424" s="45" t="n">
        <x:v>49.75</x:v>
      </x:c>
      <x:c r="I424" s="45" t="n">
        <x:v>41.5</x:v>
      </x:c>
      <x:c r="J424" s="45" t="n">
        <x:v>25</x:v>
      </x:c>
      <x:c r="K424" s="45" t="n">
        <x:v>58</x:v>
      </x:c>
      <x:c r="L424" s="51" t="str">
        <x:v>Другие кисты яичника</x:v>
      </x:c>
      <x:c r="M424" s="45" t="n">
        <x:v>16.5</x:v>
      </x:c>
      <x:c r="N424" s="33" t="str">
        <x:v>True</x:v>
      </x:c>
      <x:c r="O424" s="45" t="n">
        <x:v>14</x:v>
      </x:c>
    </x:row>
    <x:row r="425">
      <x:c r="A425" s="33" t="str">
        <x:v>XV</x:v>
      </x:c>
      <x:c r="B425" s="33" t="str">
        <x:v>O00-O08</x:v>
      </x:c>
      <x:c r="C425" s="51" t="str">
        <x:v>Беременность с абортивным исходом</x:v>
      </x:c>
      <x:c r="D425" s="33" t="str">
        <x:v>O00</x:v>
      </x:c>
      <x:c r="E425" s="39" t="n">
        <x:v>1</x:v>
      </x:c>
      <x:c r="F425" s="45" t="n">
        <x:v>35</x:v>
      </x:c>
      <x:c r="G425" s="45" t="n">
        <x:v>35</x:v>
      </x:c>
      <x:c r="H425" s="45" t="n">
        <x:v>35</x:v>
      </x:c>
      <x:c r="I425" s="45" t="n">
        <x:v>35</x:v>
      </x:c>
      <x:c r="J425" s="45" t="n">
        <x:v>35</x:v>
      </x:c>
      <x:c r="K425" s="45" t="n">
        <x:v>35</x:v>
      </x:c>
      <x:c r="L425" s="51" t="str">
        <x:v>Трубная беременность</x:v>
      </x:c>
      <x:c r="M425" s="45" t="n">
        <x:v>0</x:v>
      </x:c>
      <x:c r="N425" s="33" t="str">
        <x:v>True</x:v>
      </x:c>
      <x:c r="O425" s="45" t="n">
        <x:v>15</x:v>
      </x:c>
    </x:row>
    <x:row r="426">
      <x:c r="A426" s="33" t="str">
        <x:v>XV</x:v>
      </x:c>
      <x:c r="B426" s="33" t="str">
        <x:v>O30-O48</x:v>
      </x:c>
      <x:c r="C426" s="51" t="str">
        <x:v>Медицинская помощь матери в связи с состоянием плода</x:v>
      </x:c>
      <x:c r="D426" s="33" t="str">
        <x:v>O36</x:v>
      </x:c>
      <x:c r="E426" s="39" t="n">
        <x:v>1</x:v>
      </x:c>
      <x:c r="F426" s="45" t="n">
        <x:v>0</x:v>
      </x:c>
      <x:c r="G426" s="45" t="n">
        <x:v>0</x:v>
      </x:c>
      <x:c r="H426" s="45" t="n">
        <x:v>0</x:v>
      </x:c>
      <x:c r="I426" s="45" t="n">
        <x:v>0</x:v>
      </x:c>
      <x:c r="J426" s="45" t="n">
        <x:v>0</x:v>
      </x:c>
      <x:c r="K426" s="45" t="n">
        <x:v>0</x:v>
      </x:c>
      <x:c r="L426" s="51" t="str">
        <x:v>Внутриутробная гибель плода, требующая предоставления медицинской помощи матери</x:v>
      </x:c>
      <x:c r="M426" s="45" t="n">
        <x:v>0</x:v>
      </x:c>
      <x:c r="N426" s="33" t="str">
        <x:v>True</x:v>
      </x:c>
      <x:c r="O426" s="45" t="n">
        <x:v>15</x:v>
      </x:c>
    </x:row>
    <x:row r="427">
      <x:c r="A427" s="33" t="str">
        <x:v>XV</x:v>
      </x:c>
      <x:c r="B427" s="33" t="str">
        <x:v>O30-O48</x:v>
      </x:c>
      <x:c r="C427" s="51" t="str">
        <x:v>Медицинская помощь матери в связи с состоянием плода</x:v>
      </x:c>
      <x:c r="D427" s="33" t="str">
        <x:v>O41</x:v>
      </x:c>
      <x:c r="E427" s="39" t="n">
        <x:v>1</x:v>
      </x:c>
      <x:c r="F427" s="45" t="n">
        <x:v>40</x:v>
      </x:c>
      <x:c r="G427" s="45" t="n">
        <x:v>40</x:v>
      </x:c>
      <x:c r="H427" s="45" t="n">
        <x:v>40</x:v>
      </x:c>
      <x:c r="I427" s="45" t="n">
        <x:v>40</x:v>
      </x:c>
      <x:c r="J427" s="45" t="n">
        <x:v>40</x:v>
      </x:c>
      <x:c r="K427" s="45" t="n">
        <x:v>40</x:v>
      </x:c>
      <x:c r="L427" s="51" t="str">
        <x:v>Инфекция амниотической полости и плодных оболочек</x:v>
      </x:c>
      <x:c r="M427" s="45" t="n">
        <x:v>0</x:v>
      </x:c>
      <x:c r="N427" s="33" t="str">
        <x:v>True</x:v>
      </x:c>
      <x:c r="O427" s="45" t="n">
        <x:v>15</x:v>
      </x:c>
    </x:row>
    <x:row r="428">
      <x:c r="A428" s="33" t="str">
        <x:v>XV</x:v>
      </x:c>
      <x:c r="B428" s="33" t="str">
        <x:v>O30-O48</x:v>
      </x:c>
      <x:c r="C428" s="51" t="str">
        <x:v>Медицинская помощь матери в связи с состоянием плода</x:v>
      </x:c>
      <x:c r="D428" s="33" t="str">
        <x:v>O45</x:v>
      </x:c>
      <x:c r="E428" s="39" t="n">
        <x:v>1</x:v>
      </x:c>
      <x:c r="F428" s="45" t="n">
        <x:v>31</x:v>
      </x:c>
      <x:c r="G428" s="45" t="n">
        <x:v>31</x:v>
      </x:c>
      <x:c r="H428" s="45" t="n">
        <x:v>31</x:v>
      </x:c>
      <x:c r="I428" s="45" t="n">
        <x:v>31</x:v>
      </x:c>
      <x:c r="J428" s="45" t="n">
        <x:v>31</x:v>
      </x:c>
      <x:c r="K428" s="45" t="n">
        <x:v>31</x:v>
      </x:c>
      <x:c r="L428" s="51" t="str">
        <x:v>Преждевременная отслойка плаценты неуточненная</x:v>
      </x:c>
      <x:c r="M428" s="45" t="n">
        <x:v>0</x:v>
      </x:c>
      <x:c r="N428" s="33" t="str">
        <x:v>True</x:v>
      </x:c>
      <x:c r="O428" s="45" t="n">
        <x:v>15</x:v>
      </x:c>
    </x:row>
    <x:row r="429">
      <x:c r="A429" s="33" t="str">
        <x:v>XV</x:v>
      </x:c>
      <x:c r="B429" s="33" t="str">
        <x:v>O60-O75</x:v>
      </x:c>
      <x:c r="C429" s="51" t="str">
        <x:v>Осложнения родов и родоразрешения</x:v>
      </x:c>
      <x:c r="D429" s="33" t="str">
        <x:v>O72</x:v>
      </x:c>
      <x:c r="E429" s="39" t="n">
        <x:v>1</x:v>
      </x:c>
      <x:c r="F429" s="45" t="n">
        <x:v>31</x:v>
      </x:c>
      <x:c r="G429" s="45" t="n">
        <x:v>31</x:v>
      </x:c>
      <x:c r="H429" s="45" t="n">
        <x:v>31</x:v>
      </x:c>
      <x:c r="I429" s="45" t="n">
        <x:v>31</x:v>
      </x:c>
      <x:c r="J429" s="45" t="n">
        <x:v>31</x:v>
      </x:c>
      <x:c r="K429" s="45" t="n">
        <x:v>31</x:v>
      </x:c>
      <x:c r="L429" s="51" t="str">
        <x:v>Кровотечение в третьем периоде родов</x:v>
      </x:c>
      <x:c r="M429" s="45" t="n">
        <x:v>0</x:v>
      </x:c>
      <x:c r="N429" s="33" t="str">
        <x:v>True</x:v>
      </x:c>
      <x:c r="O429" s="45" t="n">
        <x:v>15</x:v>
      </x:c>
    </x:row>
    <x:row r="430">
      <x:c r="A430" s="33" t="str">
        <x:v>XV</x:v>
      </x:c>
      <x:c r="B430" s="33" t="str">
        <x:v>O60-O75</x:v>
      </x:c>
      <x:c r="C430" s="51" t="str">
        <x:v>Осложнения родов и родоразрешения</x:v>
      </x:c>
      <x:c r="D430" s="33" t="str">
        <x:v>O74</x:v>
      </x:c>
      <x:c r="E430" s="39" t="n">
        <x:v>1</x:v>
      </x:c>
      <x:c r="F430" s="45" t="n">
        <x:v>29</x:v>
      </x:c>
      <x:c r="G430" s="45" t="n">
        <x:v>29</x:v>
      </x:c>
      <x:c r="H430" s="45" t="n">
        <x:v>29</x:v>
      </x:c>
      <x:c r="I430" s="45" t="n">
        <x:v>29</x:v>
      </x:c>
      <x:c r="J430" s="45" t="n">
        <x:v>29</x:v>
      </x:c>
      <x:c r="K430" s="45" t="n">
        <x:v>29</x:v>
      </x:c>
      <x:c r="L430" s="51" t="str">
        <x:v>Аспирационный пневмонит вследствие анестезии во время процесса родов и родоразрешения</x:v>
      </x:c>
      <x:c r="M430" s="45" t="n">
        <x:v>0</x:v>
      </x:c>
      <x:c r="N430" s="33" t="str">
        <x:v>True</x:v>
      </x:c>
      <x:c r="O430" s="45" t="n">
        <x:v>15</x:v>
      </x:c>
    </x:row>
    <x:row r="431">
      <x:c r="A431" s="33" t="str">
        <x:v>XV</x:v>
      </x:c>
      <x:c r="B431" s="33" t="str">
        <x:v>O85-O92</x:v>
      </x:c>
      <x:c r="C431" s="51" t="str">
        <x:v>Осложнения послеродового периода</x:v>
      </x:c>
      <x:c r="D431" s="33" t="str">
        <x:v>O88</x:v>
      </x:c>
      <x:c r="E431" s="39" t="n">
        <x:v>1</x:v>
      </x:c>
      <x:c r="F431" s="45" t="n">
        <x:v>35</x:v>
      </x:c>
      <x:c r="G431" s="45" t="n">
        <x:v>35</x:v>
      </x:c>
      <x:c r="H431" s="45" t="n">
        <x:v>35</x:v>
      </x:c>
      <x:c r="I431" s="45" t="n">
        <x:v>35</x:v>
      </x:c>
      <x:c r="J431" s="45" t="n">
        <x:v>35</x:v>
      </x:c>
      <x:c r="K431" s="45" t="n">
        <x:v>35</x:v>
      </x:c>
      <x:c r="L431" s="51" t="str">
        <x:v>Тромбоэмболия околоплодными водами</x:v>
      </x:c>
      <x:c r="M431" s="45" t="n">
        <x:v>0</x:v>
      </x:c>
      <x:c r="N431" s="33" t="str">
        <x:v>True</x:v>
      </x:c>
      <x:c r="O431" s="45" t="n">
        <x:v>15</x:v>
      </x:c>
    </x:row>
    <x:row r="432">
      <x:c r="A432" s="33" t="str">
        <x:v>XV</x:v>
      </x:c>
      <x:c r="B432" s="33" t="str">
        <x:v>O94-O99</x:v>
      </x:c>
      <x:c r="C432" s="51" t="str">
        <x:v>Другие акушерские состояния</x:v>
      </x:c>
      <x:c r="D432" s="33" t="str">
        <x:v>O99</x:v>
      </x:c>
      <x:c r="E432" s="39" t="n">
        <x:v>4</x:v>
      </x:c>
      <x:c r="F432" s="45" t="n">
        <x:v>30.5</x:v>
      </x:c>
      <x:c r="G432" s="45" t="n">
        <x:v>28.25</x:v>
      </x:c>
      <x:c r="H432" s="45" t="n">
        <x:v>33.5</x:v>
      </x:c>
      <x:c r="I432" s="45" t="n">
        <x:v>31.25</x:v>
      </x:c>
      <x:c r="J432" s="45" t="n">
        <x:v>26</x:v>
      </x:c>
      <x:c r="K432" s="45" t="n">
        <x:v>38</x:v>
      </x:c>
      <x:c r="L432" s="51" t="str">
        <x:v>Другие болезни кровеносной системы</x:v>
      </x:c>
      <x:c r="M432" s="45" t="n">
        <x:v>5.25</x:v>
      </x:c>
      <x:c r="N432" s="33" t="str">
        <x:v>True</x:v>
      </x:c>
      <x:c r="O432" s="45" t="n">
        <x:v>15</x:v>
      </x:c>
    </x:row>
    <x:row r="433">
      <x:c r="A433" s="33" t="str">
        <x:v>XVI</x:v>
      </x:c>
      <x:c r="B433" s="33" t="str">
        <x:v>P00-P04</x:v>
      </x:c>
      <x:c r="C433" s="51" t="str">
        <x:v>Поражение плода и новорожденного, обусловленные состояниями матери, осложнениями беременности, родов и родоразрешения</x:v>
      </x:c>
      <x:c r="D433" s="33" t="str">
        <x:v>P02</x:v>
      </x:c>
      <x:c r="E433" s="39" t="n">
        <x:v>2</x:v>
      </x:c>
      <x:c r="F433" s="45" t="n">
        <x:v>0</x:v>
      </x:c>
      <x:c r="G433" s="45" t="n">
        <x:v>0</x:v>
      </x:c>
      <x:c r="H433" s="45" t="n">
        <x:v>0</x:v>
      </x:c>
      <x:c r="I433" s="45" t="n">
        <x:v>0</x:v>
      </x:c>
      <x:c r="J433" s="45" t="n">
        <x:v>0</x:v>
      </x:c>
      <x:c r="K433" s="45" t="n">
        <x:v>0</x:v>
      </x:c>
      <x:c r="L433" s="51" t="str">
        <x:v>Поражения плода и новорожденного, обусловленные другими осложнениями, связанными с отделением плаценты и кровотечением</x:v>
      </x:c>
      <x:c r="M433" s="45" t="n">
        <x:v>0</x:v>
      </x:c>
      <x:c r="N433" s="33" t="str">
        <x:v>True</x:v>
      </x:c>
      <x:c r="O433" s="45" t="n">
        <x:v>16</x:v>
      </x:c>
    </x:row>
    <x:row r="434">
      <x:c r="A434" s="33" t="str">
        <x:v>XVI</x:v>
      </x:c>
      <x:c r="B434" s="33" t="str">
        <x:v>P05-P08</x:v>
      </x:c>
      <x:c r="C434" s="51" t="str">
        <x:v>Расстройства, связанные с продолжительностью беременности и ростом плод</x:v>
      </x:c>
      <x:c r="D434" s="33" t="str">
        <x:v>P07</x:v>
      </x:c>
      <x:c r="E434" s="39" t="n">
        <x:v>1</x:v>
      </x:c>
      <x:c r="F434" s="45" t="n">
        <x:v>0</x:v>
      </x:c>
      <x:c r="G434" s="45" t="n">
        <x:v>0</x:v>
      </x:c>
      <x:c r="H434" s="45" t="n">
        <x:v>0</x:v>
      </x:c>
      <x:c r="I434" s="45" t="n">
        <x:v>0</x:v>
      </x:c>
      <x:c r="J434" s="45" t="n">
        <x:v>0</x:v>
      </x:c>
      <x:c r="K434" s="45" t="n">
        <x:v>0</x:v>
      </x:c>
      <x:c r="L434" s="51" t="str">
        <x:v>Другие случаи недоношенности</x:v>
      </x:c>
      <x:c r="M434" s="45" t="n">
        <x:v>0</x:v>
      </x:c>
      <x:c r="N434" s="33" t="str">
        <x:v>True</x:v>
      </x:c>
      <x:c r="O434" s="45" t="n">
        <x:v>16</x:v>
      </x:c>
    </x:row>
    <x:row r="435">
      <x:c r="A435" s="33" t="str">
        <x:v>XVI</x:v>
      </x:c>
      <x:c r="B435" s="33" t="str">
        <x:v>P10-P15</x:v>
      </x:c>
      <x:c r="C435" s="51" t="str">
        <x:v>Родовая травма</x:v>
      </x:c>
      <x:c r="D435" s="33" t="str">
        <x:v>P10</x:v>
      </x:c>
      <x:c r="E435" s="39" t="n">
        <x:v>1</x:v>
      </x:c>
      <x:c r="F435" s="45" t="n">
        <x:v>0</x:v>
      </x:c>
      <x:c r="G435" s="45" t="n">
        <x:v>0</x:v>
      </x:c>
      <x:c r="H435" s="45" t="n">
        <x:v>0</x:v>
      </x:c>
      <x:c r="I435" s="45" t="n">
        <x:v>0</x:v>
      </x:c>
      <x:c r="J435" s="45" t="n">
        <x:v>0</x:v>
      </x:c>
      <x:c r="K435" s="45" t="n">
        <x:v>0</x:v>
      </x:c>
      <x:c r="L435" s="51" t="str">
        <x:v>Субдуральное кровоизлияние при родовой травме</x:v>
      </x:c>
      <x:c r="M435" s="45" t="n">
        <x:v>0</x:v>
      </x:c>
      <x:c r="N435" s="33" t="str">
        <x:v>True</x:v>
      </x:c>
      <x:c r="O435" s="45" t="n">
        <x:v>16</x:v>
      </x:c>
    </x:row>
    <x:row r="436">
      <x:c r="A436" s="33" t="str">
        <x:v>XVI</x:v>
      </x:c>
      <x:c r="B436" s="33" t="str">
        <x:v>P10-P15</x:v>
      </x:c>
      <x:c r="C436" s="51" t="str">
        <x:v>Родовая травма</x:v>
      </x:c>
      <x:c r="D436" s="33" t="str">
        <x:v>P11</x:v>
      </x:c>
      <x:c r="E436" s="39" t="n">
        <x:v>1</x:v>
      </x:c>
      <x:c r="F436" s="45" t="n">
        <x:v>0</x:v>
      </x:c>
      <x:c r="G436" s="45" t="n">
        <x:v>0</x:v>
      </x:c>
      <x:c r="H436" s="45" t="n">
        <x:v>0</x:v>
      </x:c>
      <x:c r="I436" s="45" t="n">
        <x:v>0</x:v>
      </x:c>
      <x:c r="J436" s="45" t="n">
        <x:v>0</x:v>
      </x:c>
      <x:c r="K436" s="45" t="n">
        <x:v>0</x:v>
      </x:c>
      <x:c r="L436" s="51" t="str">
        <x:v>Родовая травма головного мозга</x:v>
      </x:c>
      <x:c r="M436" s="45" t="n">
        <x:v>0</x:v>
      </x:c>
      <x:c r="N436" s="33" t="str">
        <x:v>True</x:v>
      </x:c>
      <x:c r="O436" s="45" t="n">
        <x:v>16</x:v>
      </x:c>
    </x:row>
    <x:row r="437">
      <x:c r="A437" s="33" t="str">
        <x:v>XVI</x:v>
      </x:c>
      <x:c r="B437" s="33" t="str">
        <x:v>P10-P15</x:v>
      </x:c>
      <x:c r="C437" s="51" t="str">
        <x:v>Родовая травма</x:v>
      </x:c>
      <x:c r="D437" s="33" t="str">
        <x:v>P15</x:v>
      </x:c>
      <x:c r="E437" s="39" t="n">
        <x:v>1</x:v>
      </x:c>
      <x:c r="F437" s="45" t="n">
        <x:v>0</x:v>
      </x:c>
      <x:c r="G437" s="45" t="n">
        <x:v>0</x:v>
      </x:c>
      <x:c r="H437" s="45" t="n">
        <x:v>0</x:v>
      </x:c>
      <x:c r="I437" s="45" t="n">
        <x:v>0</x:v>
      </x:c>
      <x:c r="J437" s="45" t="n">
        <x:v>0</x:v>
      </x:c>
      <x:c r="K437" s="45" t="n">
        <x:v>0</x:v>
      </x:c>
      <x:c r="L437" s="51" t="str">
        <x:v>Повреждение печени при родовой травме</x:v>
      </x:c>
      <x:c r="M437" s="45" t="n">
        <x:v>0</x:v>
      </x:c>
      <x:c r="N437" s="33" t="str">
        <x:v>True</x:v>
      </x:c>
      <x:c r="O437" s="45" t="n">
        <x:v>16</x:v>
      </x:c>
    </x:row>
    <x:row r="438">
      <x:c r="A438" s="33" t="str">
        <x:v>XVI</x:v>
      </x:c>
      <x:c r="B438" s="33" t="str">
        <x:v>P20-P29</x:v>
      </x:c>
      <x:c r="C438" s="51" t="str">
        <x:v>Дыхательные и сердечно-сосудистые нарушения, характерные для перинатального периода</x:v>
      </x:c>
      <x:c r="D438" s="33" t="str">
        <x:v>P20</x:v>
      </x:c>
      <x:c r="E438" s="39" t="n">
        <x:v>55</x:v>
      </x:c>
      <x:c r="F438" s="45" t="n">
        <x:v>0</x:v>
      </x:c>
      <x:c r="G438" s="45" t="n">
        <x:v>0</x:v>
      </x:c>
      <x:c r="H438" s="45" t="n">
        <x:v>0</x:v>
      </x:c>
      <x:c r="I438" s="45" t="n">
        <x:v>0</x:v>
      </x:c>
      <x:c r="J438" s="45" t="n">
        <x:v>0</x:v>
      </x:c>
      <x:c r="K438" s="45" t="n">
        <x:v>0</x:v>
      </x:c>
      <x:c r="L438" s="51" t="str">
        <x:v>Внутриутробная гипоксия, впервые отмеченная до начала родов</x:v>
      </x:c>
      <x:c r="M438" s="45" t="n">
        <x:v>0</x:v>
      </x:c>
      <x:c r="N438" s="33" t="str">
        <x:v>False</x:v>
      </x:c>
      <x:c r="O438" s="45" t="n">
        <x:v>16</x:v>
      </x:c>
    </x:row>
    <x:row r="439">
      <x:c r="A439" s="33" t="str">
        <x:v>XVI</x:v>
      </x:c>
      <x:c r="B439" s="33" t="str">
        <x:v>P20-P29</x:v>
      </x:c>
      <x:c r="C439" s="51" t="str">
        <x:v>Дыхательные и сердечно-сосудистые нарушения, характерные для перинатального периода</x:v>
      </x:c>
      <x:c r="D439" s="33" t="str">
        <x:v>P21</x:v>
      </x:c>
      <x:c r="E439" s="39" t="n">
        <x:v>11</x:v>
      </x:c>
      <x:c r="F439" s="45" t="n">
        <x:v>0</x:v>
      </x:c>
      <x:c r="G439" s="45" t="n">
        <x:v>0</x:v>
      </x:c>
      <x:c r="H439" s="45" t="n">
        <x:v>0</x:v>
      </x:c>
      <x:c r="I439" s="45" t="n">
        <x:v>0</x:v>
      </x:c>
      <x:c r="J439" s="45" t="n">
        <x:v>0</x:v>
      </x:c>
      <x:c r="K439" s="45" t="n">
        <x:v>0</x:v>
      </x:c>
      <x:c r="L439" s="51" t="str">
        <x:v>Тяжелая асфиксия при рождении</x:v>
      </x:c>
      <x:c r="M439" s="45" t="n">
        <x:v>0</x:v>
      </x:c>
      <x:c r="N439" s="33" t="str">
        <x:v>False</x:v>
      </x:c>
      <x:c r="O439" s="45" t="n">
        <x:v>16</x:v>
      </x:c>
    </x:row>
    <x:row r="440">
      <x:c r="A440" s="33" t="str">
        <x:v>XVI</x:v>
      </x:c>
      <x:c r="B440" s="33" t="str">
        <x:v>P20-P29</x:v>
      </x:c>
      <x:c r="C440" s="51" t="str">
        <x:v>Дыхательные и сердечно-сосудистые нарушения, характерные для перинатального периода</x:v>
      </x:c>
      <x:c r="D440" s="33" t="str">
        <x:v>P22</x:v>
      </x:c>
      <x:c r="E440" s="39" t="n">
        <x:v>17</x:v>
      </x:c>
      <x:c r="F440" s="45" t="n">
        <x:v>0</x:v>
      </x:c>
      <x:c r="G440" s="45" t="n">
        <x:v>0</x:v>
      </x:c>
      <x:c r="H440" s="45" t="n">
        <x:v>0</x:v>
      </x:c>
      <x:c r="I440" s="45" t="n">
        <x:v>0</x:v>
      </x:c>
      <x:c r="J440" s="45" t="n">
        <x:v>0</x:v>
      </x:c>
      <x:c r="K440" s="45" t="n">
        <x:v>0</x:v>
      </x:c>
      <x:c r="L440" s="51" t="str">
        <x:v>Синдром дыхательного расстройства у новорожденного</x:v>
      </x:c>
      <x:c r="M440" s="45" t="n">
        <x:v>0</x:v>
      </x:c>
      <x:c r="N440" s="33" t="str">
        <x:v>False</x:v>
      </x:c>
      <x:c r="O440" s="45" t="n">
        <x:v>16</x:v>
      </x:c>
    </x:row>
    <x:row r="441">
      <x:c r="A441" s="33" t="str">
        <x:v>XVI</x:v>
      </x:c>
      <x:c r="B441" s="33" t="str">
        <x:v>P20-P29</x:v>
      </x:c>
      <x:c r="C441" s="51" t="str">
        <x:v>Дыхательные и сердечно-сосудистые нарушения, характерные для перинатального периода</x:v>
      </x:c>
      <x:c r="D441" s="33" t="str">
        <x:v>P23</x:v>
      </x:c>
      <x:c r="E441" s="39" t="n">
        <x:v>8</x:v>
      </x:c>
      <x:c r="F441" s="45" t="n">
        <x:v>0</x:v>
      </x:c>
      <x:c r="G441" s="45" t="n">
        <x:v>0</x:v>
      </x:c>
      <x:c r="H441" s="45" t="n">
        <x:v>0</x:v>
      </x:c>
      <x:c r="I441" s="45" t="n">
        <x:v>0</x:v>
      </x:c>
      <x:c r="J441" s="45" t="n">
        <x:v>0</x:v>
      </x:c>
      <x:c r="K441" s="45" t="n">
        <x:v>0</x:v>
      </x:c>
      <x:c r="L441" s="51" t="str">
        <x:v>Врожденная пневмония, вызванная другими возбудителями</x:v>
      </x:c>
      <x:c r="M441" s="45" t="n">
        <x:v>0</x:v>
      </x:c>
      <x:c r="N441" s="33" t="str">
        <x:v>False</x:v>
      </x:c>
      <x:c r="O441" s="45" t="n">
        <x:v>16</x:v>
      </x:c>
    </x:row>
    <x:row r="442">
      <x:c r="A442" s="33" t="str">
        <x:v>XVI</x:v>
      </x:c>
      <x:c r="B442" s="33" t="str">
        <x:v>P20-P29</x:v>
      </x:c>
      <x:c r="C442" s="51" t="str">
        <x:v>Дыхательные и сердечно-сосудистые нарушения, характерные для перинатального периода</x:v>
      </x:c>
      <x:c r="D442" s="33" t="str">
        <x:v>P27</x:v>
      </x:c>
      <x:c r="E442" s="39" t="n">
        <x:v>3</x:v>
      </x:c>
      <x:c r="F442" s="45" t="n">
        <x:v>0</x:v>
      </x:c>
      <x:c r="G442" s="45" t="n">
        <x:v>0</x:v>
      </x:c>
      <x:c r="H442" s="45" t="n">
        <x:v>0</x:v>
      </x:c>
      <x:c r="I442" s="45" t="n">
        <x:v>0</x:v>
      </x:c>
      <x:c r="J442" s="45" t="n">
        <x:v>0</x:v>
      </x:c>
      <x:c r="K442" s="45" t="n">
        <x:v>0</x:v>
      </x:c>
      <x:c r="L442" s="51" t="str">
        <x:v>Бронхолегочная дисплазия</x:v>
      </x:c>
      <x:c r="M442" s="45" t="n">
        <x:v>0</x:v>
      </x:c>
      <x:c r="N442" s="33" t="str">
        <x:v>True</x:v>
      </x:c>
      <x:c r="O442" s="45" t="n">
        <x:v>16</x:v>
      </x:c>
    </x:row>
    <x:row r="443">
      <x:c r="A443" s="33" t="str">
        <x:v>XVI</x:v>
      </x:c>
      <x:c r="B443" s="33" t="str">
        <x:v>P20-P29</x:v>
      </x:c>
      <x:c r="C443" s="51" t="str">
        <x:v>Дыхательные и сердечно-сосудистые нарушения, характерные для перинатального периода</x:v>
      </x:c>
      <x:c r="D443" s="33" t="str">
        <x:v>P28</x:v>
      </x:c>
      <x:c r="E443" s="39" t="n">
        <x:v>1</x:v>
      </x:c>
      <x:c r="F443" s="45" t="n">
        <x:v>0</x:v>
      </x:c>
      <x:c r="G443" s="45" t="n">
        <x:v>0</x:v>
      </x:c>
      <x:c r="H443" s="45" t="n">
        <x:v>0</x:v>
      </x:c>
      <x:c r="I443" s="45" t="n">
        <x:v>0</x:v>
      </x:c>
      <x:c r="J443" s="45" t="n">
        <x:v>0</x:v>
      </x:c>
      <x:c r="K443" s="45" t="n">
        <x:v>0</x:v>
      </x:c>
      <x:c r="L443" s="51" t="str">
        <x:v>Первичный ателектаз у новорожденного</x:v>
      </x:c>
      <x:c r="M443" s="45" t="n">
        <x:v>0</x:v>
      </x:c>
      <x:c r="N443" s="33" t="str">
        <x:v>True</x:v>
      </x:c>
      <x:c r="O443" s="45" t="n">
        <x:v>16</x:v>
      </x:c>
    </x:row>
    <x:row r="444">
      <x:c r="A444" s="33" t="str">
        <x:v>XVI</x:v>
      </x:c>
      <x:c r="B444" s="33" t="str">
        <x:v>P35-P39</x:v>
      </x:c>
      <x:c r="C444" s="51" t="str">
        <x:v>Инфекционные болезни, специфичные для перинатального периода</x:v>
      </x:c>
      <x:c r="D444" s="33" t="str">
        <x:v>P35</x:v>
      </x:c>
      <x:c r="E444" s="39" t="n">
        <x:v>1</x:v>
      </x:c>
      <x:c r="F444" s="45" t="n">
        <x:v>0</x:v>
      </x:c>
      <x:c r="G444" s="45" t="n">
        <x:v>0</x:v>
      </x:c>
      <x:c r="H444" s="45" t="n">
        <x:v>0</x:v>
      </x:c>
      <x:c r="I444" s="45" t="n">
        <x:v>0</x:v>
      </x:c>
      <x:c r="J444" s="45" t="n">
        <x:v>0</x:v>
      </x:c>
      <x:c r="K444" s="45" t="n">
        <x:v>0</x:v>
      </x:c>
      <x:c r="L444" s="51" t="str">
        <x:v>Врожденная цитомегаловирусная инфекция</x:v>
      </x:c>
      <x:c r="M444" s="45" t="n">
        <x:v>0</x:v>
      </x:c>
      <x:c r="N444" s="33" t="str">
        <x:v>True</x:v>
      </x:c>
      <x:c r="O444" s="45" t="n">
        <x:v>16</x:v>
      </x:c>
    </x:row>
    <x:row r="445">
      <x:c r="A445" s="33" t="str">
        <x:v>XVI</x:v>
      </x:c>
      <x:c r="B445" s="33" t="str">
        <x:v>P35-P39</x:v>
      </x:c>
      <x:c r="C445" s="51" t="str">
        <x:v>Инфекционные болезни, специфичные для перинатального периода</x:v>
      </x:c>
      <x:c r="D445" s="33" t="str">
        <x:v>P36</x:v>
      </x:c>
      <x:c r="E445" s="39" t="n">
        <x:v>36</x:v>
      </x:c>
      <x:c r="F445" s="45" t="n">
        <x:v>0</x:v>
      </x:c>
      <x:c r="G445" s="45" t="n">
        <x:v>0</x:v>
      </x:c>
      <x:c r="H445" s="45" t="n">
        <x:v>0</x:v>
      </x:c>
      <x:c r="I445" s="45" t="n">
        <x:v>0</x:v>
      </x:c>
      <x:c r="J445" s="45" t="n">
        <x:v>0</x:v>
      </x:c>
      <x:c r="K445" s="45" t="n">
        <x:v>0</x:v>
      </x:c>
      <x:c r="L445" s="51" t="str">
        <x:v>Бактериальный сепсис новорожденного неуточненный</x:v>
      </x:c>
      <x:c r="M445" s="45" t="n">
        <x:v>0</x:v>
      </x:c>
      <x:c r="N445" s="33" t="str">
        <x:v>False</x:v>
      </x:c>
      <x:c r="O445" s="45" t="n">
        <x:v>16</x:v>
      </x:c>
    </x:row>
    <x:row r="446">
      <x:c r="A446" s="33" t="str">
        <x:v>XVI</x:v>
      </x:c>
      <x:c r="B446" s="33" t="str">
        <x:v>P35-P39</x:v>
      </x:c>
      <x:c r="C446" s="51" t="str">
        <x:v>Инфекционные болезни, специфичные для перинатального периода</x:v>
      </x:c>
      <x:c r="D446" s="33" t="str">
        <x:v>P39</x:v>
      </x:c>
      <x:c r="E446" s="39" t="n">
        <x:v>3</x:v>
      </x:c>
      <x:c r="F446" s="45" t="n">
        <x:v>0</x:v>
      </x:c>
      <x:c r="G446" s="45" t="n">
        <x:v>0</x:v>
      </x:c>
      <x:c r="H446" s="45" t="n">
        <x:v>0</x:v>
      </x:c>
      <x:c r="I446" s="45" t="n">
        <x:v>0</x:v>
      </x:c>
      <x:c r="J446" s="45" t="n">
        <x:v>0</x:v>
      </x:c>
      <x:c r="K446" s="45" t="n">
        <x:v>0</x:v>
      </x:c>
      <x:c r="L446" s="51" t="str">
        <x:v>Внутриамниотическая инфекция плода, не классифицированная в других рубриках</x:v>
      </x:c>
      <x:c r="M446" s="45" t="n">
        <x:v>0</x:v>
      </x:c>
      <x:c r="N446" s="33" t="str">
        <x:v>True</x:v>
      </x:c>
      <x:c r="O446" s="45" t="n">
        <x:v>16</x:v>
      </x:c>
    </x:row>
    <x:row r="447">
      <x:c r="A447" s="33" t="str">
        <x:v>XVI</x:v>
      </x:c>
      <x:c r="B447" s="33" t="str">
        <x:v>P50-P61</x:v>
      </x:c>
      <x:c r="C447" s="51" t="str">
        <x:v>Геморрагические и гематологические нарушения у плода и новорожденного</x:v>
      </x:c>
      <x:c r="D447" s="33" t="str">
        <x:v>P52</x:v>
      </x:c>
      <x:c r="E447" s="39" t="n">
        <x:v>9</x:v>
      </x:c>
      <x:c r="F447" s="45" t="n">
        <x:v>0</x:v>
      </x:c>
      <x:c r="G447" s="45" t="n">
        <x:v>0</x:v>
      </x:c>
      <x:c r="H447" s="45" t="n">
        <x:v>0</x:v>
      </x:c>
      <x:c r="I447" s="45" t="n">
        <x:v>0</x:v>
      </x:c>
      <x:c r="J447" s="45" t="n">
        <x:v>0</x:v>
      </x:c>
      <x:c r="K447" s="45" t="n">
        <x:v>0</x:v>
      </x:c>
      <x:c r="L447" s="51" t="str">
        <x:v>Внутрижелудочковое (нетравматическое) кровоизлияние 3-ей и 4-ой степени у плода и новорожденного</x:v>
      </x:c>
      <x:c r="M447" s="45" t="n">
        <x:v>0</x:v>
      </x:c>
      <x:c r="N447" s="33" t="str">
        <x:v>False</x:v>
      </x:c>
      <x:c r="O447" s="45" t="n">
        <x:v>16</x:v>
      </x:c>
    </x:row>
    <x:row r="448">
      <x:c r="A448" s="33" t="str">
        <x:v>XVI</x:v>
      </x:c>
      <x:c r="B448" s="33" t="str">
        <x:v>P50-P61</x:v>
      </x:c>
      <x:c r="C448" s="51" t="str">
        <x:v>Геморрагические и гематологические нарушения у плода и новорожденного</x:v>
      </x:c>
      <x:c r="D448" s="33" t="str">
        <x:v>P53</x:v>
      </x:c>
      <x:c r="E448" s="39" t="n">
        <x:v>1</x:v>
      </x:c>
      <x:c r="F448" s="45" t="n">
        <x:v>0</x:v>
      </x:c>
      <x:c r="G448" s="45" t="n">
        <x:v>0</x:v>
      </x:c>
      <x:c r="H448" s="45" t="n">
        <x:v>0</x:v>
      </x:c>
      <x:c r="I448" s="45" t="n">
        <x:v>0</x:v>
      </x:c>
      <x:c r="J448" s="45" t="n">
        <x:v>0</x:v>
      </x:c>
      <x:c r="K448" s="45" t="n">
        <x:v>0</x:v>
      </x:c>
      <x:c r="L448" s="51" t="str">
        <x:v>Геморрагическая болезнь плода и новорожденного</x:v>
      </x:c>
      <x:c r="M448" s="45" t="n">
        <x:v>0</x:v>
      </x:c>
      <x:c r="N448" s="33" t="str">
        <x:v>True</x:v>
      </x:c>
      <x:c r="O448" s="45" t="n">
        <x:v>16</x:v>
      </x:c>
    </x:row>
    <x:row r="449">
      <x:c r="A449" s="33" t="str">
        <x:v>XVI</x:v>
      </x:c>
      <x:c r="B449" s="33" t="str">
        <x:v>P50-P61</x:v>
      </x:c>
      <x:c r="C449" s="51" t="str">
        <x:v>Геморрагические и гематологические нарушения у плода и новорожденного</x:v>
      </x:c>
      <x:c r="D449" s="33" t="str">
        <x:v>P55</x:v>
      </x:c>
      <x:c r="E449" s="39" t="n">
        <x:v>3</x:v>
      </x:c>
      <x:c r="F449" s="45" t="n">
        <x:v>0</x:v>
      </x:c>
      <x:c r="G449" s="45" t="n">
        <x:v>0</x:v>
      </x:c>
      <x:c r="H449" s="45" t="n">
        <x:v>0</x:v>
      </x:c>
      <x:c r="I449" s="45" t="n">
        <x:v>0</x:v>
      </x:c>
      <x:c r="J449" s="45" t="n">
        <x:v>0</x:v>
      </x:c>
      <x:c r="K449" s="45" t="n">
        <x:v>0</x:v>
      </x:c>
      <x:c r="L449" s="51" t="str">
        <x:v>Резус-изоиммунизация плода и новорожденного</x:v>
      </x:c>
      <x:c r="M449" s="45" t="n">
        <x:v>0</x:v>
      </x:c>
      <x:c r="N449" s="33" t="str">
        <x:v>True</x:v>
      </x:c>
      <x:c r="O449" s="45" t="n">
        <x:v>16</x:v>
      </x:c>
    </x:row>
    <x:row r="450">
      <x:c r="A450" s="33" t="str">
        <x:v>XVI</x:v>
      </x:c>
      <x:c r="B450" s="33" t="str">
        <x:v>P50-P61</x:v>
      </x:c>
      <x:c r="C450" s="51" t="str">
        <x:v>Геморрагические и гематологические нарушения у плода и новорожденного</x:v>
      </x:c>
      <x:c r="D450" s="33" t="str">
        <x:v>P56</x:v>
      </x:c>
      <x:c r="E450" s="39" t="n">
        <x:v>1</x:v>
      </x:c>
      <x:c r="F450" s="45" t="n">
        <x:v>0</x:v>
      </x:c>
      <x:c r="G450" s="45" t="n">
        <x:v>0</x:v>
      </x:c>
      <x:c r="H450" s="45" t="n">
        <x:v>0</x:v>
      </x:c>
      <x:c r="I450" s="45" t="n">
        <x:v>0</x:v>
      </x:c>
      <x:c r="J450" s="45" t="n">
        <x:v>0</x:v>
      </x:c>
      <x:c r="K450" s="45" t="n">
        <x:v>0</x:v>
      </x:c>
      <x:c r="L450" s="51" t="str">
        <x:v>Водянка плода, обусловленная изоиммунизацией</x:v>
      </x:c>
      <x:c r="M450" s="45" t="n">
        <x:v>0</x:v>
      </x:c>
      <x:c r="N450" s="33" t="str">
        <x:v>True</x:v>
      </x:c>
      <x:c r="O450" s="45" t="n">
        <x:v>16</x:v>
      </x:c>
    </x:row>
    <x:row r="451">
      <x:c r="A451" s="33" t="str">
        <x:v>XVI</x:v>
      </x:c>
      <x:c r="B451" s="33" t="str">
        <x:v>P50-P61</x:v>
      </x:c>
      <x:c r="C451" s="51" t="str">
        <x:v>Геморрагические и гематологические нарушения у плода и новорожденного</x:v>
      </x:c>
      <x:c r="D451" s="33" t="str">
        <x:v>P57</x:v>
      </x:c>
      <x:c r="E451" s="39" t="n">
        <x:v>1</x:v>
      </x:c>
      <x:c r="F451" s="45" t="n">
        <x:v>0</x:v>
      </x:c>
      <x:c r="G451" s="45" t="n">
        <x:v>0</x:v>
      </x:c>
      <x:c r="H451" s="45" t="n">
        <x:v>0</x:v>
      </x:c>
      <x:c r="I451" s="45" t="n">
        <x:v>0</x:v>
      </x:c>
      <x:c r="J451" s="45" t="n">
        <x:v>0</x:v>
      </x:c>
      <x:c r="K451" s="45" t="n">
        <x:v>0</x:v>
      </x:c>
      <x:c r="L451" s="51" t="str">
        <x:v>Ядерная желтуха</x:v>
      </x:c>
      <x:c r="M451" s="45" t="n">
        <x:v>0</x:v>
      </x:c>
      <x:c r="N451" s="33" t="str">
        <x:v>True</x:v>
      </x:c>
      <x:c r="O451" s="45" t="n">
        <x:v>16</x:v>
      </x:c>
    </x:row>
    <x:row r="452">
      <x:c r="A452" s="33" t="str">
        <x:v>XVI</x:v>
      </x:c>
      <x:c r="B452" s="33" t="str">
        <x:v>P75-P78</x:v>
      </x:c>
      <x:c r="C452" s="51" t="str">
        <x:v>Расстройства системы пищеварения у плода и новорожденного</x:v>
      </x:c>
      <x:c r="D452" s="33" t="str">
        <x:v>P76</x:v>
      </x:c>
      <x:c r="E452" s="39" t="n">
        <x:v>2</x:v>
      </x:c>
      <x:c r="F452" s="45" t="n">
        <x:v>0</x:v>
      </x:c>
      <x:c r="G452" s="45" t="n">
        <x:v>0</x:v>
      </x:c>
      <x:c r="H452" s="45" t="n">
        <x:v>0</x:v>
      </x:c>
      <x:c r="I452" s="45" t="n">
        <x:v>0</x:v>
      </x:c>
      <x:c r="J452" s="45" t="n">
        <x:v>0</x:v>
      </x:c>
      <x:c r="K452" s="45" t="n">
        <x:v>0</x:v>
      </x:c>
      <x:c r="L452" s="51" t="str">
        <x:v>Другая кишечная непроходимость новорожденного</x:v>
      </x:c>
      <x:c r="M452" s="45" t="n">
        <x:v>0</x:v>
      </x:c>
      <x:c r="N452" s="33" t="str">
        <x:v>True</x:v>
      </x:c>
      <x:c r="O452" s="45" t="n">
        <x:v>16</x:v>
      </x:c>
    </x:row>
    <x:row r="453">
      <x:c r="A453" s="33" t="str">
        <x:v>XVI</x:v>
      </x:c>
      <x:c r="B453" s="33" t="str">
        <x:v>P75-P78</x:v>
      </x:c>
      <x:c r="C453" s="51" t="str">
        <x:v>Расстройства системы пищеварения у плода и новорожденного</x:v>
      </x:c>
      <x:c r="D453" s="33" t="str">
        <x:v>P77</x:v>
      </x:c>
      <x:c r="E453" s="39" t="n">
        <x:v>6</x:v>
      </x:c>
      <x:c r="F453" s="45" t="n">
        <x:v>0</x:v>
      </x:c>
      <x:c r="G453" s="45" t="n">
        <x:v>0</x:v>
      </x:c>
      <x:c r="H453" s="45" t="n">
        <x:v>0</x:v>
      </x:c>
      <x:c r="I453" s="45" t="n">
        <x:v>0</x:v>
      </x:c>
      <x:c r="J453" s="45" t="n">
        <x:v>0</x:v>
      </x:c>
      <x:c r="K453" s="45" t="n">
        <x:v>0</x:v>
      </x:c>
      <x:c r="L453" s="51" t="str">
        <x:v>Некротизирующий энтероколит у плода и новорожденного</x:v>
      </x:c>
      <x:c r="M453" s="45" t="n">
        <x:v>0</x:v>
      </x:c>
      <x:c r="N453" s="33" t="str">
        <x:v>False</x:v>
      </x:c>
      <x:c r="O453" s="45" t="n">
        <x:v>16</x:v>
      </x:c>
    </x:row>
    <x:row r="454">
      <x:c r="A454" s="33" t="str">
        <x:v>XVI</x:v>
      </x:c>
      <x:c r="B454" s="33" t="str">
        <x:v>P80-P83</x:v>
      </x:c>
      <x:c r="C454" s="51" t="str">
        <x:v>Состояния, затрагивающие кожные покровы и терморегуляцию у плода и новорожденного</x:v>
      </x:c>
      <x:c r="D454" s="33" t="str">
        <x:v>P83</x:v>
      </x:c>
      <x:c r="E454" s="39" t="n">
        <x:v>3</x:v>
      </x:c>
      <x:c r="F454" s="45" t="n">
        <x:v>0</x:v>
      </x:c>
      <x:c r="G454" s="45" t="n">
        <x:v>0</x:v>
      </x:c>
      <x:c r="H454" s="45" t="n">
        <x:v>0</x:v>
      </x:c>
      <x:c r="I454" s="45" t="n">
        <x:v>0</x:v>
      </x:c>
      <x:c r="J454" s="45" t="n">
        <x:v>0</x:v>
      </x:c>
      <x:c r="K454" s="45" t="n">
        <x:v>0</x:v>
      </x:c>
      <x:c r="L454" s="51" t="str">
        <x:v>Водянка плода, не связанная с гемолитической болезнью</x:v>
      </x:c>
      <x:c r="M454" s="45" t="n">
        <x:v>0</x:v>
      </x:c>
      <x:c r="N454" s="33" t="str">
        <x:v>True</x:v>
      </x:c>
      <x:c r="O454" s="45" t="n">
        <x:v>16</x:v>
      </x:c>
    </x:row>
    <x:row r="455">
      <x:c r="A455" s="33" t="str">
        <x:v>XVI</x:v>
      </x:c>
      <x:c r="B455" s="33" t="str">
        <x:v>P90-P96</x:v>
      </x:c>
      <x:c r="C455" s="51" t="str">
        <x:v>Другие нарушения, возникающие в перинатальном периоде</x:v>
      </x:c>
      <x:c r="D455" s="33" t="str">
        <x:v>P91</x:v>
      </x:c>
      <x:c r="E455" s="39" t="n">
        <x:v>2</x:v>
      </x:c>
      <x:c r="F455" s="45" t="n">
        <x:v>0</x:v>
      </x:c>
      <x:c r="G455" s="45" t="n">
        <x:v>0</x:v>
      </x:c>
      <x:c r="H455" s="45" t="n">
        <x:v>0</x:v>
      </x:c>
      <x:c r="I455" s="45" t="n">
        <x:v>0</x:v>
      </x:c>
      <x:c r="J455" s="45" t="n">
        <x:v>0</x:v>
      </x:c>
      <x:c r="K455" s="45" t="n">
        <x:v>0</x:v>
      </x:c>
      <x:c r="L455" s="51" t="str">
        <x:v>Гипоксически-ишемическая энцефалопатия новорожденного</x:v>
      </x:c>
      <x:c r="M455" s="45" t="n">
        <x:v>0</x:v>
      </x:c>
      <x:c r="N455" s="33" t="str">
        <x:v>True</x:v>
      </x:c>
      <x:c r="O455" s="45" t="n">
        <x:v>16</x:v>
      </x:c>
    </x:row>
    <x:row r="456">
      <x:c r="A456" s="33" t="str">
        <x:v>XVI</x:v>
      </x:c>
      <x:c r="B456" s="33" t="str">
        <x:v>P90-P96</x:v>
      </x:c>
      <x:c r="C456" s="51" t="str">
        <x:v>Другие нарушения, возникающие в перинатальном периоде</x:v>
      </x:c>
      <x:c r="D456" s="33" t="str">
        <x:v>P95</x:v>
      </x:c>
      <x:c r="E456" s="39" t="n">
        <x:v>1</x:v>
      </x:c>
      <x:c r="F456" s="45" t="n">
        <x:v>0</x:v>
      </x:c>
      <x:c r="G456" s="45" t="n">
        <x:v>0</x:v>
      </x:c>
      <x:c r="H456" s="45" t="n">
        <x:v>0</x:v>
      </x:c>
      <x:c r="I456" s="45" t="n">
        <x:v>0</x:v>
      </x:c>
      <x:c r="J456" s="45" t="n">
        <x:v>0</x:v>
      </x:c>
      <x:c r="K456" s="45" t="n">
        <x:v>0</x:v>
      </x:c>
      <x:c r="L456" s="51" t="str">
        <x:v>Смерть плода по неуточненной причине</x:v>
      </x:c>
      <x:c r="M456" s="45" t="n">
        <x:v>0</x:v>
      </x:c>
      <x:c r="N456" s="33" t="str">
        <x:v>True</x:v>
      </x:c>
      <x:c r="O456" s="45" t="n">
        <x:v>16</x:v>
      </x:c>
    </x:row>
    <x:row r="457">
      <x:c r="A457" s="33" t="str">
        <x:v>XVII</x:v>
      </x:c>
      <x:c r="B457" s="33" t="str">
        <x:v>Q00-Q07</x:v>
      </x:c>
      <x:c r="C457" s="51" t="str">
        <x:v>Врожденные аномалии развития нервной системы</x:v>
      </x:c>
      <x:c r="D457" s="33" t="str">
        <x:v>Q00</x:v>
      </x:c>
      <x:c r="E457" s="39" t="n">
        <x:v>1</x:v>
      </x:c>
      <x:c r="F457" s="45" t="n">
        <x:v>0</x:v>
      </x:c>
      <x:c r="G457" s="45" t="n">
        <x:v>0</x:v>
      </x:c>
      <x:c r="H457" s="45" t="n">
        <x:v>0</x:v>
      </x:c>
      <x:c r="I457" s="45" t="n">
        <x:v>0</x:v>
      </x:c>
      <x:c r="J457" s="45" t="n">
        <x:v>0</x:v>
      </x:c>
      <x:c r="K457" s="45" t="n">
        <x:v>0</x:v>
      </x:c>
      <x:c r="L457" s="51" t="str">
        <x:v>Анэнцефалия</x:v>
      </x:c>
      <x:c r="M457" s="45" t="n">
        <x:v>0</x:v>
      </x:c>
      <x:c r="N457" s="33" t="str">
        <x:v>True</x:v>
      </x:c>
      <x:c r="O457" s="45" t="n">
        <x:v>17</x:v>
      </x:c>
    </x:row>
    <x:row r="458">
      <x:c r="A458" s="33" t="str">
        <x:v>XVII</x:v>
      </x:c>
      <x:c r="B458" s="33" t="str">
        <x:v>Q00-Q07</x:v>
      </x:c>
      <x:c r="C458" s="51" t="str">
        <x:v>Врожденные аномалии развития нервной системы</x:v>
      </x:c>
      <x:c r="D458" s="33" t="str">
        <x:v>Q03</x:v>
      </x:c>
      <x:c r="E458" s="39" t="n">
        <x:v>8</x:v>
      </x:c>
      <x:c r="F458" s="45" t="n">
        <x:v>7.5</x:v>
      </x:c>
      <x:c r="G458" s="45" t="n">
        <x:v>0</x:v>
      </x:c>
      <x:c r="H458" s="45" t="n">
        <x:v>20</x:v>
      </x:c>
      <x:c r="I458" s="45" t="n">
        <x:v>10.875</x:v>
      </x:c>
      <x:c r="J458" s="45" t="n">
        <x:v>0</x:v>
      </x:c>
      <x:c r="K458" s="45" t="n">
        <x:v>30</x:v>
      </x:c>
      <x:c r="L458" s="51" t="str">
        <x:v>Атрезия отверстий Мажанди и Лушки</x:v>
      </x:c>
      <x:c r="M458" s="45" t="n">
        <x:v>20</x:v>
      </x:c>
      <x:c r="N458" s="33" t="str">
        <x:v>False</x:v>
      </x:c>
      <x:c r="O458" s="45" t="n">
        <x:v>17</x:v>
      </x:c>
    </x:row>
    <x:row r="459">
      <x:c r="A459" s="33" t="str">
        <x:v>XVII</x:v>
      </x:c>
      <x:c r="B459" s="33" t="str">
        <x:v>Q00-Q07</x:v>
      </x:c>
      <x:c r="C459" s="51" t="str">
        <x:v>Врожденные аномалии развития нервной системы</x:v>
      </x:c>
      <x:c r="D459" s="33" t="str">
        <x:v>Q04</x:v>
      </x:c>
      <x:c r="E459" s="39" t="n">
        <x:v>4</x:v>
      </x:c>
      <x:c r="F459" s="45" t="n">
        <x:v>15.5</x:v>
      </x:c>
      <x:c r="G459" s="45" t="n">
        <x:v>1.5</x:v>
      </x:c>
      <x:c r="H459" s="45" t="n">
        <x:v>31.5</x:v>
      </x:c>
      <x:c r="I459" s="45" t="n">
        <x:v>17.5</x:v>
      </x:c>
      <x:c r="J459" s="45" t="n">
        <x:v>0</x:v>
      </x:c>
      <x:c r="K459" s="45" t="n">
        <x:v>39</x:v>
      </x:c>
      <x:c r="L459" s="51" t="str">
        <x:v>Другие уточненные врожденные аномалии мозга</x:v>
      </x:c>
      <x:c r="M459" s="45" t="n">
        <x:v>30</x:v>
      </x:c>
      <x:c r="N459" s="33" t="str">
        <x:v>True</x:v>
      </x:c>
      <x:c r="O459" s="45" t="n">
        <x:v>17</x:v>
      </x:c>
    </x:row>
    <x:row r="460">
      <x:c r="A460" s="33" t="str">
        <x:v>XVII</x:v>
      </x:c>
      <x:c r="B460" s="33" t="str">
        <x:v>Q20-Q28</x:v>
      </x:c>
      <x:c r="C460" s="51" t="str">
        <x:v>Врожденные аномалии системы кровообращения</x:v>
      </x:c>
      <x:c r="D460" s="33" t="str">
        <x:v>Q21</x:v>
      </x:c>
      <x:c r="E460" s="39" t="n">
        <x:v>12</x:v>
      </x:c>
      <x:c r="F460" s="45" t="n">
        <x:v>32</x:v>
      </x:c>
      <x:c r="G460" s="45" t="n">
        <x:v>0</x:v>
      </x:c>
      <x:c r="H460" s="45" t="n">
        <x:v>50</x:v>
      </x:c>
      <x:c r="I460" s="45" t="n">
        <x:v>29.333333333333332</x:v>
      </x:c>
      <x:c r="J460" s="45" t="n">
        <x:v>0</x:v>
      </x:c>
      <x:c r="K460" s="45" t="n">
        <x:v>66</x:v>
      </x:c>
      <x:c r="L460" s="51" t="str">
        <x:v>Дефект межжелудочковой перегородки</x:v>
      </x:c>
      <x:c r="M460" s="45" t="n">
        <x:v>50</x:v>
      </x:c>
      <x:c r="N460" s="33" t="str">
        <x:v>False</x:v>
      </x:c>
      <x:c r="O460" s="45" t="n">
        <x:v>17</x:v>
      </x:c>
    </x:row>
    <x:row r="461">
      <x:c r="A461" s="33" t="str">
        <x:v>XVII</x:v>
      </x:c>
      <x:c r="B461" s="33" t="str">
        <x:v>Q20-Q28</x:v>
      </x:c>
      <x:c r="C461" s="51" t="str">
        <x:v>Врожденные аномалии системы кровообращения</x:v>
      </x:c>
      <x:c r="D461" s="33" t="str">
        <x:v>Q22</x:v>
      </x:c>
      <x:c r="E461" s="39" t="n">
        <x:v>1</x:v>
      </x:c>
      <x:c r="F461" s="45" t="n">
        <x:v>69</x:v>
      </x:c>
      <x:c r="G461" s="45" t="n">
        <x:v>69</x:v>
      </x:c>
      <x:c r="H461" s="45" t="n">
        <x:v>69</x:v>
      </x:c>
      <x:c r="I461" s="45" t="n">
        <x:v>69</x:v>
      </x:c>
      <x:c r="J461" s="45" t="n">
        <x:v>69</x:v>
      </x:c>
      <x:c r="K461" s="45" t="n">
        <x:v>69</x:v>
      </x:c>
      <x:c r="L461" s="51" t="str">
        <x:v>Врожденный стеноз трехстворчатого клапана</x:v>
      </x:c>
      <x:c r="M461" s="45" t="n">
        <x:v>0</x:v>
      </x:c>
      <x:c r="N461" s="33" t="str">
        <x:v>True</x:v>
      </x:c>
      <x:c r="O461" s="45" t="n">
        <x:v>17</x:v>
      </x:c>
    </x:row>
    <x:row r="462">
      <x:c r="A462" s="33" t="str">
        <x:v>XVII</x:v>
      </x:c>
      <x:c r="B462" s="33" t="str">
        <x:v>Q20-Q28</x:v>
      </x:c>
      <x:c r="C462" s="51" t="str">
        <x:v>Врожденные аномалии системы кровообращения</x:v>
      </x:c>
      <x:c r="D462" s="33" t="str">
        <x:v>Q23</x:v>
      </x:c>
      <x:c r="E462" s="39" t="n">
        <x:v>9</x:v>
      </x:c>
      <x:c r="F462" s="45" t="n">
        <x:v>14</x:v>
      </x:c>
      <x:c r="G462" s="45" t="n">
        <x:v>0</x:v>
      </x:c>
      <x:c r="H462" s="45" t="n">
        <x:v>33</x:v>
      </x:c>
      <x:c r="I462" s="45" t="n">
        <x:v>21.555555555555557</x:v>
      </x:c>
      <x:c r="J462" s="45" t="n">
        <x:v>0</x:v>
      </x:c>
      <x:c r="K462" s="45" t="n">
        <x:v>70</x:v>
      </x:c>
      <x:c r="L462" s="51" t="str">
        <x:v>Врожденная недостаточность аортального клапана</x:v>
      </x:c>
      <x:c r="M462" s="45" t="n">
        <x:v>33</x:v>
      </x:c>
      <x:c r="N462" s="33" t="str">
        <x:v>False</x:v>
      </x:c>
      <x:c r="O462" s="45" t="n">
        <x:v>17</x:v>
      </x:c>
    </x:row>
    <x:row r="463">
      <x:c r="A463" s="33" t="str">
        <x:v>XVII</x:v>
      </x:c>
      <x:c r="B463" s="33" t="str">
        <x:v>Q20-Q28</x:v>
      </x:c>
      <x:c r="C463" s="51" t="str">
        <x:v>Врожденные аномалии системы кровообращения</x:v>
      </x:c>
      <x:c r="D463" s="33" t="str">
        <x:v>Q24</x:v>
      </x:c>
      <x:c r="E463" s="39" t="n">
        <x:v>5</x:v>
      </x:c>
      <x:c r="F463" s="45" t="n">
        <x:v>40</x:v>
      </x:c>
      <x:c r="G463" s="45" t="n">
        <x:v>0</x:v>
      </x:c>
      <x:c r="H463" s="45" t="n">
        <x:v>43</x:v>
      </x:c>
      <x:c r="I463" s="45" t="n">
        <x:v>30.2</x:v>
      </x:c>
      <x:c r="J463" s="45" t="n">
        <x:v>0</x:v>
      </x:c>
      <x:c r="K463" s="45" t="n">
        <x:v>68</x:v>
      </x:c>
      <x:c r="L463" s="51" t="str">
        <x:v>Другие уточненные врожденные аномалии сердца</x:v>
      </x:c>
      <x:c r="M463" s="45" t="n">
        <x:v>43</x:v>
      </x:c>
      <x:c r="N463" s="33" t="str">
        <x:v>False</x:v>
      </x:c>
      <x:c r="O463" s="45" t="n">
        <x:v>17</x:v>
      </x:c>
    </x:row>
    <x:row r="464">
      <x:c r="A464" s="33" t="str">
        <x:v>XVII</x:v>
      </x:c>
      <x:c r="B464" s="33" t="str">
        <x:v>Q20-Q28</x:v>
      </x:c>
      <x:c r="C464" s="51" t="str">
        <x:v>Врожденные аномалии системы кровообращения</x:v>
      </x:c>
      <x:c r="D464" s="33" t="str">
        <x:v>Q25</x:v>
      </x:c>
      <x:c r="E464" s="39" t="n">
        <x:v>4</x:v>
      </x:c>
      <x:c r="F464" s="45" t="n">
        <x:v>0</x:v>
      </x:c>
      <x:c r="G464" s="45" t="n">
        <x:v>0</x:v>
      </x:c>
      <x:c r="H464" s="45" t="n">
        <x:v>11.75</x:v>
      </x:c>
      <x:c r="I464" s="45" t="n">
        <x:v>11.75</x:v>
      </x:c>
      <x:c r="J464" s="45" t="n">
        <x:v>0</x:v>
      </x:c>
      <x:c r="K464" s="45" t="n">
        <x:v>47</x:v>
      </x:c>
      <x:c r="L464" s="51" t="str">
        <x:v>Другие врожденные аномалии крупных артерий</x:v>
      </x:c>
      <x:c r="M464" s="45" t="n">
        <x:v>11.75</x:v>
      </x:c>
      <x:c r="N464" s="33" t="str">
        <x:v>True</x:v>
      </x:c>
      <x:c r="O464" s="45" t="n">
        <x:v>17</x:v>
      </x:c>
    </x:row>
    <x:row r="465">
      <x:c r="A465" s="33" t="str">
        <x:v>XVII</x:v>
      </x:c>
      <x:c r="B465" s="33" t="str">
        <x:v>Q20-Q28</x:v>
      </x:c>
      <x:c r="C465" s="51" t="str">
        <x:v>Врожденные аномалии системы кровообращения</x:v>
      </x:c>
      <x:c r="D465" s="33" t="str">
        <x:v>Q26</x:v>
      </x:c>
      <x:c r="E465" s="39" t="n">
        <x:v>1</x:v>
      </x:c>
      <x:c r="F465" s="45" t="n">
        <x:v>0</x:v>
      </x:c>
      <x:c r="G465" s="45" t="n">
        <x:v>0</x:v>
      </x:c>
      <x:c r="H465" s="45" t="n">
        <x:v>0</x:v>
      </x:c>
      <x:c r="I465" s="45" t="n">
        <x:v>0</x:v>
      </x:c>
      <x:c r="J465" s="45" t="n">
        <x:v>0</x:v>
      </x:c>
      <x:c r="K465" s="45" t="n">
        <x:v>0</x:v>
      </x:c>
      <x:c r="L465" s="51" t="str">
        <x:v>Тотальная аномалия соединения легочных вен</x:v>
      </x:c>
      <x:c r="M465" s="45" t="n">
        <x:v>0</x:v>
      </x:c>
      <x:c r="N465" s="33" t="str">
        <x:v>True</x:v>
      </x:c>
      <x:c r="O465" s="45" t="n">
        <x:v>17</x:v>
      </x:c>
    </x:row>
    <x:row r="466">
      <x:c r="A466" s="33" t="str">
        <x:v>XVII</x:v>
      </x:c>
      <x:c r="B466" s="33" t="str">
        <x:v>Q20-Q28</x:v>
      </x:c>
      <x:c r="C466" s="51" t="str">
        <x:v>Врожденные аномалии системы кровообращения</x:v>
      </x:c>
      <x:c r="D466" s="33" t="str">
        <x:v>Q27</x:v>
      </x:c>
      <x:c r="E466" s="39" t="n">
        <x:v>1</x:v>
      </x:c>
      <x:c r="F466" s="45" t="n">
        <x:v>72</x:v>
      </x:c>
      <x:c r="G466" s="45" t="n">
        <x:v>72</x:v>
      </x:c>
      <x:c r="H466" s="45" t="n">
        <x:v>72</x:v>
      </x:c>
      <x:c r="I466" s="45" t="n">
        <x:v>72</x:v>
      </x:c>
      <x:c r="J466" s="45" t="n">
        <x:v>72</x:v>
      </x:c>
      <x:c r="K466" s="45" t="n">
        <x:v>72</x:v>
      </x:c>
      <x:c r="L466" s="51" t="str">
        <x:v>Другие врожденные аномалии периферической сосудистой системы</x:v>
      </x:c>
      <x:c r="M466" s="45" t="n">
        <x:v>0</x:v>
      </x:c>
      <x:c r="N466" s="33" t="str">
        <x:v>True</x:v>
      </x:c>
      <x:c r="O466" s="45" t="n">
        <x:v>17</x:v>
      </x:c>
    </x:row>
    <x:row r="467">
      <x:c r="A467" s="33" t="str">
        <x:v>XVII</x:v>
      </x:c>
      <x:c r="B467" s="33" t="str">
        <x:v>Q20-Q28</x:v>
      </x:c>
      <x:c r="C467" s="51" t="str">
        <x:v>Врожденные аномалии системы кровообращения</x:v>
      </x:c>
      <x:c r="D467" s="33" t="str">
        <x:v>Q28</x:v>
      </x:c>
      <x:c r="E467" s="39" t="n">
        <x:v>1</x:v>
      </x:c>
      <x:c r="F467" s="45" t="n">
        <x:v>60</x:v>
      </x:c>
      <x:c r="G467" s="45" t="n">
        <x:v>60</x:v>
      </x:c>
      <x:c r="H467" s="45" t="n">
        <x:v>60</x:v>
      </x:c>
      <x:c r="I467" s="45" t="n">
        <x:v>60</x:v>
      </x:c>
      <x:c r="J467" s="45" t="n">
        <x:v>60</x:v>
      </x:c>
      <x:c r="K467" s="45" t="n">
        <x:v>60</x:v>
      </x:c>
      <x:c r="L467" s="51" t="str">
        <x:v>Артериовенозный порок развития церебральных сосудов</x:v>
      </x:c>
      <x:c r="M467" s="45" t="n">
        <x:v>0</x:v>
      </x:c>
      <x:c r="N467" s="33" t="str">
        <x:v>True</x:v>
      </x:c>
      <x:c r="O467" s="45" t="n">
        <x:v>17</x:v>
      </x:c>
    </x:row>
    <x:row r="468">
      <x:c r="A468" s="33" t="str">
        <x:v>XVII</x:v>
      </x:c>
      <x:c r="B468" s="33" t="str">
        <x:v>Q30-Q34</x:v>
      </x:c>
      <x:c r="C468" s="51" t="str">
        <x:v>Врожденные аномалии органов дыхания</x:v>
      </x:c>
      <x:c r="D468" s="33" t="str">
        <x:v>Q32</x:v>
      </x:c>
      <x:c r="E468" s="39" t="n">
        <x:v>1</x:v>
      </x:c>
      <x:c r="F468" s="45" t="n">
        <x:v>16</x:v>
      </x:c>
      <x:c r="G468" s="45" t="n">
        <x:v>16</x:v>
      </x:c>
      <x:c r="H468" s="45" t="n">
        <x:v>16</x:v>
      </x:c>
      <x:c r="I468" s="45" t="n">
        <x:v>16</x:v>
      </x:c>
      <x:c r="J468" s="45" t="n">
        <x:v>16</x:v>
      </x:c>
      <x:c r="K468" s="45" t="n">
        <x:v>16</x:v>
      </x:c>
      <x:c r="L468" s="51" t="str">
        <x:v>Врожденные кисты и фиброз легкого</x:v>
      </x:c>
      <x:c r="M468" s="45" t="n">
        <x:v>0</x:v>
      </x:c>
      <x:c r="N468" s="33" t="str">
        <x:v>True</x:v>
      </x:c>
      <x:c r="O468" s="45" t="n">
        <x:v>17</x:v>
      </x:c>
    </x:row>
    <x:row r="469">
      <x:c r="A469" s="33" t="str">
        <x:v>XVII</x:v>
      </x:c>
      <x:c r="B469" s="33" t="str">
        <x:v>Q30-Q34</x:v>
      </x:c>
      <x:c r="C469" s="51" t="str">
        <x:v>Врожденные аномалии органов дыхания</x:v>
      </x:c>
      <x:c r="D469" s="33" t="str">
        <x:v>Q33</x:v>
      </x:c>
      <x:c r="E469" s="39" t="n">
        <x:v>1</x:v>
      </x:c>
      <x:c r="F469" s="45" t="n">
        <x:v>0</x:v>
      </x:c>
      <x:c r="G469" s="45" t="n">
        <x:v>0</x:v>
      </x:c>
      <x:c r="H469" s="45" t="n">
        <x:v>0</x:v>
      </x:c>
      <x:c r="I469" s="45" t="n">
        <x:v>0</x:v>
      </x:c>
      <x:c r="J469" s="45" t="n">
        <x:v>0</x:v>
      </x:c>
      <x:c r="K469" s="45" t="n">
        <x:v>0</x:v>
      </x:c>
      <x:c r="L469" s="51" t="str">
        <x:v>Другие врожденные аномалии легкого</x:v>
      </x:c>
      <x:c r="M469" s="45" t="n">
        <x:v>0</x:v>
      </x:c>
      <x:c r="N469" s="33" t="str">
        <x:v>True</x:v>
      </x:c>
      <x:c r="O469" s="45" t="n">
        <x:v>17</x:v>
      </x:c>
    </x:row>
    <x:row r="470">
      <x:c r="A470" s="33" t="str">
        <x:v>XVII</x:v>
      </x:c>
      <x:c r="B470" s="33" t="str">
        <x:v>Q38-Q45</x:v>
      </x:c>
      <x:c r="C470" s="51" t="str">
        <x:v>Другие врожденные аномалии органов пищеварения</x:v>
      </x:c>
      <x:c r="D470" s="33" t="str">
        <x:v>Q39</x:v>
      </x:c>
      <x:c r="E470" s="39" t="n">
        <x:v>1</x:v>
      </x:c>
      <x:c r="F470" s="45" t="n">
        <x:v>0</x:v>
      </x:c>
      <x:c r="G470" s="45" t="n">
        <x:v>0</x:v>
      </x:c>
      <x:c r="H470" s="45" t="n">
        <x:v>0</x:v>
      </x:c>
      <x:c r="I470" s="45" t="n">
        <x:v>0</x:v>
      </x:c>
      <x:c r="J470" s="45" t="n">
        <x:v>0</x:v>
      </x:c>
      <x:c r="K470" s="45" t="n">
        <x:v>0</x:v>
      </x:c>
      <x:c r="L470" s="51" t="str">
        <x:v>Атрезия пищевода</x:v>
      </x:c>
      <x:c r="M470" s="45" t="n">
        <x:v>0</x:v>
      </x:c>
      <x:c r="N470" s="33" t="str">
        <x:v>True</x:v>
      </x:c>
      <x:c r="O470" s="45" t="n">
        <x:v>17</x:v>
      </x:c>
    </x:row>
    <x:row r="471">
      <x:c r="A471" s="33" t="str">
        <x:v>XVII</x:v>
      </x:c>
      <x:c r="B471" s="33" t="str">
        <x:v>Q38-Q45</x:v>
      </x:c>
      <x:c r="C471" s="51" t="str">
        <x:v>Другие врожденные аномалии органов пищеварения</x:v>
      </x:c>
      <x:c r="D471" s="33" t="str">
        <x:v>Q43</x:v>
      </x:c>
      <x:c r="E471" s="39" t="n">
        <x:v>6</x:v>
      </x:c>
      <x:c r="F471" s="45" t="n">
        <x:v>29.5</x:v>
      </x:c>
      <x:c r="G471" s="45" t="n">
        <x:v>9.25</x:v>
      </x:c>
      <x:c r="H471" s="45" t="n">
        <x:v>63.25</x:v>
      </x:c>
      <x:c r="I471" s="45" t="n">
        <x:v>35.333333333333336</x:v>
      </x:c>
      <x:c r="J471" s="45" t="n">
        <x:v>0</x:v>
      </x:c>
      <x:c r="K471" s="45" t="n">
        <x:v>76</x:v>
      </x:c>
      <x:c r="L471" s="51" t="str">
        <x:v>Другие уточненные врожденные аномалии кишечника</x:v>
      </x:c>
      <x:c r="M471" s="45" t="n">
        <x:v>54</x:v>
      </x:c>
      <x:c r="N471" s="33" t="str">
        <x:v>False</x:v>
      </x:c>
      <x:c r="O471" s="45" t="n">
        <x:v>17</x:v>
      </x:c>
    </x:row>
    <x:row r="472">
      <x:c r="A472" s="33" t="str">
        <x:v>XVII</x:v>
      </x:c>
      <x:c r="B472" s="33" t="str">
        <x:v>Q38-Q45</x:v>
      </x:c>
      <x:c r="C472" s="51" t="str">
        <x:v>Другие врожденные аномалии органов пищеварения</x:v>
      </x:c>
      <x:c r="D472" s="33" t="str">
        <x:v>Q44</x:v>
      </x:c>
      <x:c r="E472" s="39" t="n">
        <x:v>3</x:v>
      </x:c>
      <x:c r="F472" s="45" t="n">
        <x:v>0</x:v>
      </x:c>
      <x:c r="G472" s="45" t="n">
        <x:v>0</x:v>
      </x:c>
      <x:c r="H472" s="45" t="n">
        <x:v>40.5</x:v>
      </x:c>
      <x:c r="I472" s="45" t="n">
        <x:v>27</x:v>
      </x:c>
      <x:c r="J472" s="45" t="n">
        <x:v>0</x:v>
      </x:c>
      <x:c r="K472" s="45" t="n">
        <x:v>81</x:v>
      </x:c>
      <x:c r="L472" s="51" t="str">
        <x:v>Атрезия желчных протоков</x:v>
      </x:c>
      <x:c r="M472" s="45" t="n">
        <x:v>40.5</x:v>
      </x:c>
      <x:c r="N472" s="33" t="str">
        <x:v>True</x:v>
      </x:c>
      <x:c r="O472" s="45" t="n">
        <x:v>17</x:v>
      </x:c>
    </x:row>
    <x:row r="473">
      <x:c r="A473" s="33" t="str">
        <x:v>XVII</x:v>
      </x:c>
      <x:c r="B473" s="33" t="str">
        <x:v>Q38-Q45</x:v>
      </x:c>
      <x:c r="C473" s="51" t="str">
        <x:v>Другие врожденные аномалии органов пищеварения</x:v>
      </x:c>
      <x:c r="D473" s="33" t="str">
        <x:v>Q45</x:v>
      </x:c>
      <x:c r="E473" s="39" t="n">
        <x:v>1</x:v>
      </x:c>
      <x:c r="F473" s="45" t="n">
        <x:v>28</x:v>
      </x:c>
      <x:c r="G473" s="45" t="n">
        <x:v>28</x:v>
      </x:c>
      <x:c r="H473" s="45" t="n">
        <x:v>28</x:v>
      </x:c>
      <x:c r="I473" s="45" t="n">
        <x:v>28</x:v>
      </x:c>
      <x:c r="J473" s="45" t="n">
        <x:v>28</x:v>
      </x:c>
      <x:c r="K473" s="45" t="n">
        <x:v>28</x:v>
      </x:c>
      <x:c r="L473" s="51" t="str">
        <x:v>Агенезия поджелудочной железы</x:v>
      </x:c>
      <x:c r="M473" s="45" t="n">
        <x:v>0</x:v>
      </x:c>
      <x:c r="N473" s="33" t="str">
        <x:v>True</x:v>
      </x:c>
      <x:c r="O473" s="45" t="n">
        <x:v>17</x:v>
      </x:c>
    </x:row>
    <x:row r="474">
      <x:c r="A474" s="33" t="str">
        <x:v>XVII</x:v>
      </x:c>
      <x:c r="B474" s="33" t="str">
        <x:v>Q60-Q64</x:v>
      </x:c>
      <x:c r="C474" s="51" t="str">
        <x:v>Врожденные аномалии мочевыделительной системы</x:v>
      </x:c>
      <x:c r="D474" s="33" t="str">
        <x:v>Q60</x:v>
      </x:c>
      <x:c r="E474" s="39" t="n">
        <x:v>3</x:v>
      </x:c>
      <x:c r="F474" s="45" t="n">
        <x:v>44</x:v>
      </x:c>
      <x:c r="G474" s="45" t="n">
        <x:v>34.5</x:v>
      </x:c>
      <x:c r="H474" s="45" t="n">
        <x:v>52</x:v>
      </x:c>
      <x:c r="I474" s="45" t="n">
        <x:v>43</x:v>
      </x:c>
      <x:c r="J474" s="45" t="n">
        <x:v>25</x:v>
      </x:c>
      <x:c r="K474" s="45" t="n">
        <x:v>60</x:v>
      </x:c>
      <x:c r="L474" s="51" t="str">
        <x:v>Агенезия почки двусторонняя</x:v>
      </x:c>
      <x:c r="M474" s="45" t="n">
        <x:v>17.5</x:v>
      </x:c>
      <x:c r="N474" s="33" t="str">
        <x:v>True</x:v>
      </x:c>
      <x:c r="O474" s="45" t="n">
        <x:v>17</x:v>
      </x:c>
    </x:row>
    <x:row r="475">
      <x:c r="A475" s="33" t="str">
        <x:v>XVII</x:v>
      </x:c>
      <x:c r="B475" s="33" t="str">
        <x:v>Q60-Q64</x:v>
      </x:c>
      <x:c r="C475" s="51" t="str">
        <x:v>Врожденные аномалии мочевыделительной системы</x:v>
      </x:c>
      <x:c r="D475" s="33" t="str">
        <x:v>Q61</x:v>
      </x:c>
      <x:c r="E475" s="39" t="n">
        <x:v>16</x:v>
      </x:c>
      <x:c r="F475" s="45" t="n">
        <x:v>63.5</x:v>
      </x:c>
      <x:c r="G475" s="45" t="n">
        <x:v>49</x:v>
      </x:c>
      <x:c r="H475" s="45" t="n">
        <x:v>71.5</x:v>
      </x:c>
      <x:c r="I475" s="45" t="n">
        <x:v>59.5</x:v>
      </x:c>
      <x:c r="J475" s="45" t="n">
        <x:v>0</x:v>
      </x:c>
      <x:c r="K475" s="45" t="n">
        <x:v>91</x:v>
      </x:c>
      <x:c r="L475" s="51" t="str">
        <x:v>Поликистоз почки аутосомно-доминантный</x:v>
      </x:c>
      <x:c r="M475" s="45" t="n">
        <x:v>22.5</x:v>
      </x:c>
      <x:c r="N475" s="33" t="str">
        <x:v>False</x:v>
      </x:c>
      <x:c r="O475" s="45" t="n">
        <x:v>17</x:v>
      </x:c>
    </x:row>
    <x:row r="476">
      <x:c r="A476" s="33" t="str">
        <x:v>XVII</x:v>
      </x:c>
      <x:c r="B476" s="33" t="str">
        <x:v>Q65-Q79</x:v>
      </x:c>
      <x:c r="C476" s="51" t="str">
        <x:v>Врожденные аномалии и деформации костно-мышечной системы</x:v>
      </x:c>
      <x:c r="D476" s="33" t="str">
        <x:v>Q67</x:v>
      </x:c>
      <x:c r="E476" s="39" t="n">
        <x:v>1</x:v>
      </x:c>
      <x:c r="F476" s="45" t="n">
        <x:v>46</x:v>
      </x:c>
      <x:c r="G476" s="45" t="n">
        <x:v>46</x:v>
      </x:c>
      <x:c r="H476" s="45" t="n">
        <x:v>46</x:v>
      </x:c>
      <x:c r="I476" s="45" t="n">
        <x:v>46</x:v>
      </x:c>
      <x:c r="J476" s="45" t="n">
        <x:v>46</x:v>
      </x:c>
      <x:c r="K476" s="45" t="n">
        <x:v>46</x:v>
      </x:c>
      <x:c r="L476" s="51" t="str">
        <x:v>Другие врожденные деформации костно-мышечной системы</x:v>
      </x:c>
      <x:c r="M476" s="45" t="n">
        <x:v>0</x:v>
      </x:c>
      <x:c r="N476" s="33" t="str">
        <x:v>True</x:v>
      </x:c>
      <x:c r="O476" s="45" t="n">
        <x:v>17</x:v>
      </x:c>
    </x:row>
    <x:row r="477">
      <x:c r="A477" s="33" t="str">
        <x:v>XVII</x:v>
      </x:c>
      <x:c r="B477" s="33" t="str">
        <x:v>Q65-Q79</x:v>
      </x:c>
      <x:c r="C477" s="51" t="str">
        <x:v>Врожденные аномалии и деформации костно-мышечной системы</x:v>
      </x:c>
      <x:c r="D477" s="33" t="str">
        <x:v>Q78</x:v>
      </x:c>
      <x:c r="E477" s="39" t="n">
        <x:v>2</x:v>
      </x:c>
      <x:c r="F477" s="45" t="n">
        <x:v>40.5</x:v>
      </x:c>
      <x:c r="G477" s="45" t="n">
        <x:v>37.25</x:v>
      </x:c>
      <x:c r="H477" s="45" t="n">
        <x:v>43.75</x:v>
      </x:c>
      <x:c r="I477" s="45" t="n">
        <x:v>40.5</x:v>
      </x:c>
      <x:c r="J477" s="45" t="n">
        <x:v>34</x:v>
      </x:c>
      <x:c r="K477" s="45" t="n">
        <x:v>47</x:v>
      </x:c>
      <x:c r="L477" s="51" t="str">
        <x:v>Другие остеохондродисплазии</x:v>
      </x:c>
      <x:c r="M477" s="45" t="n">
        <x:v>6.5</x:v>
      </x:c>
      <x:c r="N477" s="33" t="str">
        <x:v>True</x:v>
      </x:c>
      <x:c r="O477" s="45" t="n">
        <x:v>17</x:v>
      </x:c>
    </x:row>
    <x:row r="478">
      <x:c r="A478" s="33" t="str">
        <x:v>XVII</x:v>
      </x:c>
      <x:c r="B478" s="33" t="str">
        <x:v>Q65-Q79</x:v>
      </x:c>
      <x:c r="C478" s="51" t="str">
        <x:v>Врожденные аномалии и деформации костно-мышечной системы</x:v>
      </x:c>
      <x:c r="D478" s="33" t="str">
        <x:v>Q79</x:v>
      </x:c>
      <x:c r="E478" s="39" t="n">
        <x:v>1</x:v>
      </x:c>
      <x:c r="F478" s="45" t="n">
        <x:v>0</x:v>
      </x:c>
      <x:c r="G478" s="45" t="n">
        <x:v>0</x:v>
      </x:c>
      <x:c r="H478" s="45" t="n">
        <x:v>0</x:v>
      </x:c>
      <x:c r="I478" s="45" t="n">
        <x:v>0</x:v>
      </x:c>
      <x:c r="J478" s="45" t="n">
        <x:v>0</x:v>
      </x:c>
      <x:c r="K478" s="45" t="n">
        <x:v>0</x:v>
      </x:c>
      <x:c r="L478" s="51" t="str">
        <x:v>Врожденная диафрагмальная грыжа</x:v>
      </x:c>
      <x:c r="M478" s="45" t="n">
        <x:v>0</x:v>
      </x:c>
      <x:c r="N478" s="33" t="str">
        <x:v>True</x:v>
      </x:c>
      <x:c r="O478" s="45" t="n">
        <x:v>17</x:v>
      </x:c>
    </x:row>
    <x:row r="479">
      <x:c r="A479" s="33" t="str">
        <x:v>XVII</x:v>
      </x:c>
      <x:c r="B479" s="33" t="str">
        <x:v>Q80-Q89</x:v>
      </x:c>
      <x:c r="C479" s="51" t="str">
        <x:v>Другие врожденные аномалии</x:v>
      </x:c>
      <x:c r="D479" s="33" t="str">
        <x:v>Q82</x:v>
      </x:c>
      <x:c r="E479" s="39" t="n">
        <x:v>1</x:v>
      </x:c>
      <x:c r="F479" s="45" t="n">
        <x:v>53</x:v>
      </x:c>
      <x:c r="G479" s="45" t="n">
        <x:v>53</x:v>
      </x:c>
      <x:c r="H479" s="45" t="n">
        <x:v>53</x:v>
      </x:c>
      <x:c r="I479" s="45" t="n">
        <x:v>53</x:v>
      </x:c>
      <x:c r="J479" s="45" t="n">
        <x:v>53</x:v>
      </x:c>
      <x:c r="K479" s="45" t="n">
        <x:v>53</x:v>
      </x:c>
      <x:c r="L479" s="51" t="str">
        <x:v>Врожденный невус</x:v>
      </x:c>
      <x:c r="M479" s="45" t="n">
        <x:v>0</x:v>
      </x:c>
      <x:c r="N479" s="33" t="str">
        <x:v>True</x:v>
      </x:c>
      <x:c r="O479" s="45" t="n">
        <x:v>17</x:v>
      </x:c>
    </x:row>
    <x:row r="480">
      <x:c r="A480" s="33" t="str">
        <x:v>XVII</x:v>
      </x:c>
      <x:c r="B480" s="33" t="str">
        <x:v>Q80-Q89</x:v>
      </x:c>
      <x:c r="C480" s="51" t="str">
        <x:v>Другие врожденные аномалии</x:v>
      </x:c>
      <x:c r="D480" s="33" t="str">
        <x:v>Q85</x:v>
      </x:c>
      <x:c r="E480" s="39" t="n">
        <x:v>1</x:v>
      </x:c>
      <x:c r="F480" s="45" t="n">
        <x:v>37</x:v>
      </x:c>
      <x:c r="G480" s="45" t="n">
        <x:v>37</x:v>
      </x:c>
      <x:c r="H480" s="45" t="n">
        <x:v>37</x:v>
      </x:c>
      <x:c r="I480" s="45" t="n">
        <x:v>37</x:v>
      </x:c>
      <x:c r="J480" s="45" t="n">
        <x:v>37</x:v>
      </x:c>
      <x:c r="K480" s="45" t="n">
        <x:v>37</x:v>
      </x:c>
      <x:c r="L480" s="51" t="str">
        <x:v>Нейрофиброматоз (незлокачественный)</x:v>
      </x:c>
      <x:c r="M480" s="45" t="n">
        <x:v>0</x:v>
      </x:c>
      <x:c r="N480" s="33" t="str">
        <x:v>True</x:v>
      </x:c>
      <x:c r="O480" s="45" t="n">
        <x:v>17</x:v>
      </x:c>
    </x:row>
    <x:row r="481">
      <x:c r="A481" s="33" t="str">
        <x:v>XVII</x:v>
      </x:c>
      <x:c r="B481" s="33" t="str">
        <x:v>Q80-Q89</x:v>
      </x:c>
      <x:c r="C481" s="51" t="str">
        <x:v>Другие врожденные аномалии</x:v>
      </x:c>
      <x:c r="D481" s="33" t="str">
        <x:v>Q87</x:v>
      </x:c>
      <x:c r="E481" s="39" t="n">
        <x:v>2</x:v>
      </x:c>
      <x:c r="F481" s="45" t="n">
        <x:v>66.5</x:v>
      </x:c>
      <x:c r="G481" s="45" t="n">
        <x:v>65.75</x:v>
      </x:c>
      <x:c r="H481" s="45" t="n">
        <x:v>67.25</x:v>
      </x:c>
      <x:c r="I481" s="45" t="n">
        <x:v>66.5</x:v>
      </x:c>
      <x:c r="J481" s="45" t="n">
        <x:v>65</x:v>
      </x:c>
      <x:c r="K481" s="45" t="n">
        <x:v>68</x:v>
      </x:c>
      <x:c r="L481" s="51" t="str">
        <x:v>Синдром Марфана</x:v>
      </x:c>
      <x:c r="M481" s="45" t="n">
        <x:v>1.5</x:v>
      </x:c>
      <x:c r="N481" s="33" t="str">
        <x:v>True</x:v>
      </x:c>
      <x:c r="O481" s="45" t="n">
        <x:v>17</x:v>
      </x:c>
    </x:row>
    <x:row r="482">
      <x:c r="A482" s="33" t="str">
        <x:v>XVII</x:v>
      </x:c>
      <x:c r="B482" s="33" t="str">
        <x:v>Q80-Q89</x:v>
      </x:c>
      <x:c r="C482" s="51" t="str">
        <x:v>Другие врожденные аномалии</x:v>
      </x:c>
      <x:c r="D482" s="33" t="str">
        <x:v>Q89</x:v>
      </x:c>
      <x:c r="E482" s="39" t="n">
        <x:v>13</x:v>
      </x:c>
      <x:c r="F482" s="45" t="n">
        <x:v>0</x:v>
      </x:c>
      <x:c r="G482" s="45" t="n">
        <x:v>0</x:v>
      </x:c>
      <x:c r="H482" s="45" t="n">
        <x:v>1</x:v>
      </x:c>
      <x:c r="I482" s="45" t="n">
        <x:v>0.46153846153846156</x:v>
      </x:c>
      <x:c r="J482" s="45" t="n">
        <x:v>0</x:v>
      </x:c>
      <x:c r="K482" s="45" t="n">
        <x:v>2</x:v>
      </x:c>
      <x:c r="L482" s="51" t="str">
        <x:v>Множественные врожденные аномалии, не классифицированные в других рубриках</x:v>
      </x:c>
      <x:c r="M482" s="45" t="n">
        <x:v>1</x:v>
      </x:c>
      <x:c r="N482" s="33" t="str">
        <x:v>False</x:v>
      </x:c>
      <x:c r="O482" s="45" t="n">
        <x:v>17</x:v>
      </x:c>
    </x:row>
    <x:row r="483">
      <x:c r="A483" s="33" t="str">
        <x:v>XVIII</x:v>
      </x:c>
      <x:c r="B483" s="33" t="str">
        <x:v>R50-R69</x:v>
      </x:c>
      <x:c r="C483" s="51" t="str">
        <x:v>Общие симптомы и признаки</x:v>
      </x:c>
      <x:c r="D483" s="33" t="str">
        <x:v>R54</x:v>
      </x:c>
      <x:c r="E483" s="39" t="n">
        <x:v>49</x:v>
      </x:c>
      <x:c r="F483" s="45" t="n">
        <x:v>90</x:v>
      </x:c>
      <x:c r="G483" s="45" t="n">
        <x:v>86</x:v>
      </x:c>
      <x:c r="H483" s="45" t="n">
        <x:v>93</x:v>
      </x:c>
      <x:c r="I483" s="45" t="n">
        <x:v>89.6938775510204</x:v>
      </x:c>
      <x:c r="J483" s="45" t="n">
        <x:v>82</x:v>
      </x:c>
      <x:c r="K483" s="45" t="n">
        <x:v>98</x:v>
      </x:c>
      <x:c r="L483" s="51" t="str">
        <x:v>Старческая астения</x:v>
      </x:c>
      <x:c r="M483" s="45" t="n">
        <x:v>7</x:v>
      </x:c>
      <x:c r="N483" s="33" t="str">
        <x:v>False</x:v>
      </x:c>
      <x:c r="O483" s="45" t="n">
        <x:v>18</x:v>
      </x:c>
    </x:row>
    <x:row r="484">
      <x:c r="A484" s="33" t="str">
        <x:v>XVIII</x:v>
      </x:c>
      <x:c r="B484" s="33" t="str">
        <x:v>R95-R99</x:v>
      </x:c>
      <x:c r="C484" s="51" t="str">
        <x:v>Неточно обозначенные и неизвестные причины смерти</x:v>
      </x:c>
      <x:c r="D484" s="33" t="str">
        <x:v>R95</x:v>
      </x:c>
      <x:c r="E484" s="39" t="n">
        <x:v>13</x:v>
      </x:c>
      <x:c r="F484" s="45" t="n">
        <x:v>0</x:v>
      </x:c>
      <x:c r="G484" s="45" t="n">
        <x:v>0</x:v>
      </x:c>
      <x:c r="H484" s="45" t="n">
        <x:v>0</x:v>
      </x:c>
      <x:c r="I484" s="45" t="n">
        <x:v>0</x:v>
      </x:c>
      <x:c r="J484" s="45" t="n">
        <x:v>0</x:v>
      </x:c>
      <x:c r="K484" s="45" t="n">
        <x:v>0</x:v>
      </x:c>
      <x:c r="L484" s="51" t="str">
        <x:v>Синдром внезапной детской смерти</x:v>
      </x:c>
      <x:c r="M484" s="45" t="n">
        <x:v>0</x:v>
      </x:c>
      <x:c r="N484" s="33" t="str">
        <x:v>False</x:v>
      </x:c>
      <x:c r="O484" s="45" t="n">
        <x:v>18</x:v>
      </x:c>
    </x:row>
    <x:row r="485">
      <x:c r="A485" s="33" t="str">
        <x:v>XVIII</x:v>
      </x:c>
      <x:c r="B485" s="33" t="str">
        <x:v>R95-R99</x:v>
      </x:c>
      <x:c r="C485" s="51" t="str">
        <x:v>Неточно обозначенные и неизвестные причины смерти</x:v>
      </x:c>
      <x:c r="D485" s="33" t="str">
        <x:v>R96</x:v>
      </x:c>
      <x:c r="E485" s="39" t="n">
        <x:v>4</x:v>
      </x:c>
      <x:c r="F485" s="45" t="n">
        <x:v>41.5</x:v>
      </x:c>
      <x:c r="G485" s="45" t="n">
        <x:v>30.25</x:v>
      </x:c>
      <x:c r="H485" s="45" t="n">
        <x:v>48.75</x:v>
      </x:c>
      <x:c r="I485" s="45" t="n">
        <x:v>37.5</x:v>
      </x:c>
      <x:c r="J485" s="45" t="n">
        <x:v>13</x:v>
      </x:c>
      <x:c r="K485" s="45" t="n">
        <x:v>54</x:v>
      </x:c>
      <x:c r="L485" s="51" t="str">
        <x:v>Смерть, наступившая менее чем через 24 часа с момента появления симптомов, не имеющая другого объяснения</x:v>
      </x:c>
      <x:c r="M485" s="45" t="n">
        <x:v>18.5</x:v>
      </x:c>
      <x:c r="N485" s="33" t="str">
        <x:v>True</x:v>
      </x:c>
      <x:c r="O485" s="45" t="n">
        <x:v>18</x:v>
      </x:c>
    </x:row>
    <x:row r="486">
      <x:c r="A486" s="33" t="str">
        <x:v>XVIII</x:v>
      </x:c>
      <x:c r="B486" s="33" t="str">
        <x:v>R95-R99</x:v>
      </x:c>
      <x:c r="C486" s="51" t="str">
        <x:v>Неточно обозначенные и неизвестные причины смерти</x:v>
      </x:c>
      <x:c r="D486" s="33" t="str">
        <x:v>R99</x:v>
      </x:c>
      <x:c r="E486" s="39" t="n">
        <x:v>1777</x:v>
      </x:c>
      <x:c r="F486" s="45" t="n">
        <x:v>59</x:v>
      </x:c>
      <x:c r="G486" s="45" t="n">
        <x:v>47</x:v>
      </x:c>
      <x:c r="H486" s="45" t="n">
        <x:v>68</x:v>
      </x:c>
      <x:c r="I486" s="45" t="n">
        <x:v>57.66741699493529</x:v>
      </x:c>
      <x:c r="J486" s="45" t="n">
        <x:v>16</x:v>
      </x:c>
      <x:c r="K486" s="45" t="n">
        <x:v>105</x:v>
      </x:c>
      <x:c r="L486" s="51" t="str">
        <x:v>Другие неточно обозначенные и неуточненные причины смерти</x:v>
      </x:c>
      <x:c r="M486" s="45" t="n">
        <x:v>21</x:v>
      </x:c>
      <x:c r="N486" s="33" t="str">
        <x:v>False</x:v>
      </x:c>
      <x:c r="O486" s="45" t="n">
        <x:v>18</x:v>
      </x:c>
    </x:row>
    <x:row r="487">
      <x:c r="A487" s="33" t="str">
        <x:v>XIX</x:v>
      </x:c>
      <x:c r="B487" s="33" t="str">
        <x:v>S00-S09</x:v>
      </x:c>
      <x:c r="C487" s="51" t="str">
        <x:v>Травмы головы</x:v>
      </x:c>
      <x:c r="D487" s="33" t="str">
        <x:v>S00</x:v>
      </x:c>
      <x:c r="E487" s="39" t="n">
        <x:v>2</x:v>
      </x:c>
      <x:c r="F487" s="45" t="n">
        <x:v>45.5</x:v>
      </x:c>
      <x:c r="G487" s="45" t="n">
        <x:v>41.25</x:v>
      </x:c>
      <x:c r="H487" s="45" t="n">
        <x:v>49.75</x:v>
      </x:c>
      <x:c r="I487" s="45" t="n">
        <x:v>45.5</x:v>
      </x:c>
      <x:c r="J487" s="45" t="n">
        <x:v>37</x:v>
      </x:c>
      <x:c r="K487" s="45" t="n">
        <x:v>54</x:v>
      </x:c>
      <x:c r="L487" s="51" t="str">
        <x:v>Множественные поверхностные травмы головы</x:v>
      </x:c>
      <x:c r="M487" s="45" t="n">
        <x:v>8.5</x:v>
      </x:c>
      <x:c r="N487" s="33" t="str">
        <x:v>True</x:v>
      </x:c>
      <x:c r="O487" s="45" t="n">
        <x:v>19</x:v>
      </x:c>
    </x:row>
    <x:row r="488">
      <x:c r="A488" s="33" t="str">
        <x:v>XIX</x:v>
      </x:c>
      <x:c r="B488" s="33" t="str">
        <x:v>S00-S09</x:v>
      </x:c>
      <x:c r="C488" s="51" t="str">
        <x:v>Травмы головы</x:v>
      </x:c>
      <x:c r="D488" s="33" t="str">
        <x:v>S01</x:v>
      </x:c>
      <x:c r="E488" s="39" t="n">
        <x:v>38</x:v>
      </x:c>
      <x:c r="F488" s="45" t="n">
        <x:v>43</x:v>
      </x:c>
      <x:c r="G488" s="45" t="n">
        <x:v>34.25</x:v>
      </x:c>
      <x:c r="H488" s="45" t="n">
        <x:v>53.25</x:v>
      </x:c>
      <x:c r="I488" s="45" t="n">
        <x:v>44.81578947368421</x:v>
      </x:c>
      <x:c r="J488" s="45" t="n">
        <x:v>20</x:v>
      </x:c>
      <x:c r="K488" s="45" t="n">
        <x:v>86</x:v>
      </x:c>
      <x:c r="L488" s="51" t="str">
        <x:v>Открытая рана других областей головы</x:v>
      </x:c>
      <x:c r="M488" s="45" t="n">
        <x:v>19</x:v>
      </x:c>
      <x:c r="N488" s="33" t="str">
        <x:v>False</x:v>
      </x:c>
      <x:c r="O488" s="45" t="n">
        <x:v>19</x:v>
      </x:c>
    </x:row>
    <x:row r="489">
      <x:c r="A489" s="33" t="str">
        <x:v>XIX</x:v>
      </x:c>
      <x:c r="B489" s="33" t="str">
        <x:v>S00-S09</x:v>
      </x:c>
      <x:c r="C489" s="51" t="str">
        <x:v>Травмы головы</x:v>
      </x:c>
      <x:c r="D489" s="33" t="str">
        <x:v>S02</x:v>
      </x:c>
      <x:c r="E489" s="39" t="n">
        <x:v>390</x:v>
      </x:c>
      <x:c r="F489" s="45" t="n">
        <x:v>45</x:v>
      </x:c>
      <x:c r="G489" s="45" t="n">
        <x:v>34</x:v>
      </x:c>
      <x:c r="H489" s="45" t="n">
        <x:v>56.75</x:v>
      </x:c>
      <x:c r="I489" s="45" t="n">
        <x:v>45.73076923076923</x:v>
      </x:c>
      <x:c r="J489" s="45" t="n">
        <x:v>0</x:v>
      </x:c>
      <x:c r="K489" s="45" t="n">
        <x:v>89</x:v>
      </x:c>
      <x:c r="L489" s="51" t="str">
        <x:v>Перелом основания черепа</x:v>
      </x:c>
      <x:c r="M489" s="45" t="n">
        <x:v>22.75</x:v>
      </x:c>
      <x:c r="N489" s="33" t="str">
        <x:v>False</x:v>
      </x:c>
      <x:c r="O489" s="45" t="n">
        <x:v>19</x:v>
      </x:c>
    </x:row>
    <x:row r="490">
      <x:c r="A490" s="33" t="str">
        <x:v>XIX</x:v>
      </x:c>
      <x:c r="B490" s="33" t="str">
        <x:v>S00-S09</x:v>
      </x:c>
      <x:c r="C490" s="51" t="str">
        <x:v>Травмы головы</x:v>
      </x:c>
      <x:c r="D490" s="33" t="str">
        <x:v>S05</x:v>
      </x:c>
      <x:c r="E490" s="39" t="n">
        <x:v>1</x:v>
      </x:c>
      <x:c r="F490" s="45" t="n">
        <x:v>37</x:v>
      </x:c>
      <x:c r="G490" s="45" t="n">
        <x:v>37</x:v>
      </x:c>
      <x:c r="H490" s="45" t="n">
        <x:v>37</x:v>
      </x:c>
      <x:c r="I490" s="45" t="n">
        <x:v>37</x:v>
      </x:c>
      <x:c r="J490" s="45" t="n">
        <x:v>37</x:v>
      </x:c>
      <x:c r="K490" s="45" t="n">
        <x:v>37</x:v>
      </x:c>
      <x:c r="L490" s="51" t="str">
        <x:v>Проникающая рана глазницы</x:v>
      </x:c>
      <x:c r="M490" s="45" t="n">
        <x:v>0</x:v>
      </x:c>
      <x:c r="N490" s="33" t="str">
        <x:v>True</x:v>
      </x:c>
      <x:c r="O490" s="45" t="n">
        <x:v>19</x:v>
      </x:c>
    </x:row>
    <x:row r="491">
      <x:c r="A491" s="33" t="str">
        <x:v>XIX</x:v>
      </x:c>
      <x:c r="B491" s="33" t="str">
        <x:v>S00-S09</x:v>
      </x:c>
      <x:c r="C491" s="51" t="str">
        <x:v>Травмы головы</x:v>
      </x:c>
      <x:c r="D491" s="33" t="str">
        <x:v>S06</x:v>
      </x:c>
      <x:c r="E491" s="39" t="n">
        <x:v>762</x:v>
      </x:c>
      <x:c r="F491" s="45" t="n">
        <x:v>48</x:v>
      </x:c>
      <x:c r="G491" s="45" t="n">
        <x:v>38</x:v>
      </x:c>
      <x:c r="H491" s="45" t="n">
        <x:v>62</x:v>
      </x:c>
      <x:c r="I491" s="45" t="n">
        <x:v>49.98950131233596</x:v>
      </x:c>
      <x:c r="J491" s="45" t="n">
        <x:v>0</x:v>
      </x:c>
      <x:c r="K491" s="45" t="n">
        <x:v>95</x:v>
      </x:c>
      <x:c r="L491" s="51" t="str">
        <x:v>Травматическое субдуральное кровоизлияние</x:v>
      </x:c>
      <x:c r="M491" s="45" t="n">
        <x:v>24</x:v>
      </x:c>
      <x:c r="N491" s="33" t="str">
        <x:v>False</x:v>
      </x:c>
      <x:c r="O491" s="45" t="n">
        <x:v>19</x:v>
      </x:c>
    </x:row>
    <x:row r="492">
      <x:c r="A492" s="33" t="str">
        <x:v>XIX</x:v>
      </x:c>
      <x:c r="B492" s="33" t="str">
        <x:v>S00-S09</x:v>
      </x:c>
      <x:c r="C492" s="51" t="str">
        <x:v>Травмы головы</x:v>
      </x:c>
      <x:c r="D492" s="33" t="str">
        <x:v>S07</x:v>
      </x:c>
      <x:c r="E492" s="39" t="n">
        <x:v>68</x:v>
      </x:c>
      <x:c r="F492" s="45" t="n">
        <x:v>38</x:v>
      </x:c>
      <x:c r="G492" s="45" t="n">
        <x:v>30.25</x:v>
      </x:c>
      <x:c r="H492" s="45" t="n">
        <x:v>45.25</x:v>
      </x:c>
      <x:c r="I492" s="45" t="n">
        <x:v>38.86764705882353</x:v>
      </x:c>
      <x:c r="J492" s="45" t="n">
        <x:v>15</x:v>
      </x:c>
      <x:c r="K492" s="45" t="n">
        <x:v>74</x:v>
      </x:c>
      <x:c r="L492" s="51" t="str">
        <x:v>Размозжение черепа</x:v>
      </x:c>
      <x:c r="M492" s="45" t="n">
        <x:v>15</x:v>
      </x:c>
      <x:c r="N492" s="33" t="str">
        <x:v>False</x:v>
      </x:c>
      <x:c r="O492" s="45" t="n">
        <x:v>19</x:v>
      </x:c>
    </x:row>
    <x:row r="493">
      <x:c r="A493" s="33" t="str">
        <x:v>XIX</x:v>
      </x:c>
      <x:c r="B493" s="33" t="str">
        <x:v>S00-S09</x:v>
      </x:c>
      <x:c r="C493" s="51" t="str">
        <x:v>Травмы головы</x:v>
      </x:c>
      <x:c r="D493" s="33" t="str">
        <x:v>S08</x:v>
      </x:c>
      <x:c r="E493" s="39" t="n">
        <x:v>1</x:v>
      </x:c>
      <x:c r="F493" s="45" t="n">
        <x:v>81</x:v>
      </x:c>
      <x:c r="G493" s="45" t="n">
        <x:v>81</x:v>
      </x:c>
      <x:c r="H493" s="45" t="n">
        <x:v>81</x:v>
      </x:c>
      <x:c r="I493" s="45" t="n">
        <x:v>81</x:v>
      </x:c>
      <x:c r="J493" s="45" t="n">
        <x:v>81</x:v>
      </x:c>
      <x:c r="K493" s="45" t="n">
        <x:v>81</x:v>
      </x:c>
      <x:c r="L493" s="51" t="str">
        <x:v>Травматическая ампутация других частей головы</x:v>
      </x:c>
      <x:c r="M493" s="45" t="n">
        <x:v>0</x:v>
      </x:c>
      <x:c r="N493" s="33" t="str">
        <x:v>True</x:v>
      </x:c>
      <x:c r="O493" s="45" t="n">
        <x:v>19</x:v>
      </x:c>
    </x:row>
    <x:row r="494">
      <x:c r="A494" s="33" t="str">
        <x:v>XIX</x:v>
      </x:c>
      <x:c r="B494" s="33" t="str">
        <x:v>S00-S09</x:v>
      </x:c>
      <x:c r="C494" s="51" t="str">
        <x:v>Травмы головы</x:v>
      </x:c>
      <x:c r="D494" s="33" t="str">
        <x:v>S09</x:v>
      </x:c>
      <x:c r="E494" s="39" t="n">
        <x:v>18</x:v>
      </x:c>
      <x:c r="F494" s="45" t="n">
        <x:v>52.5</x:v>
      </x:c>
      <x:c r="G494" s="45" t="n">
        <x:v>35.5</x:v>
      </x:c>
      <x:c r="H494" s="45" t="n">
        <x:v>63</x:v>
      </x:c>
      <x:c r="I494" s="45" t="n">
        <x:v>51.388888888888886</x:v>
      </x:c>
      <x:c r="J494" s="45" t="n">
        <x:v>25</x:v>
      </x:c>
      <x:c r="K494" s="45" t="n">
        <x:v>90</x:v>
      </x:c>
      <x:c r="L494" s="51" t="str">
        <x:v>Множественные травмы головы</x:v>
      </x:c>
      <x:c r="M494" s="45" t="n">
        <x:v>27.5</x:v>
      </x:c>
      <x:c r="N494" s="33" t="str">
        <x:v>False</x:v>
      </x:c>
      <x:c r="O494" s="45" t="n">
        <x:v>19</x:v>
      </x:c>
    </x:row>
    <x:row r="495">
      <x:c r="A495" s="33" t="str">
        <x:v>XIX</x:v>
      </x:c>
      <x:c r="B495" s="33" t="str">
        <x:v>S10-S19</x:v>
      </x:c>
      <x:c r="C495" s="51" t="str">
        <x:v>Травмы шеи</x:v>
      </x:c>
      <x:c r="D495" s="33" t="str">
        <x:v>S11</x:v>
      </x:c>
      <x:c r="E495" s="39" t="n">
        <x:v>15</x:v>
      </x:c>
      <x:c r="F495" s="45" t="n">
        <x:v>38</x:v>
      </x:c>
      <x:c r="G495" s="45" t="n">
        <x:v>34.5</x:v>
      </x:c>
      <x:c r="H495" s="45" t="n">
        <x:v>44.5</x:v>
      </x:c>
      <x:c r="I495" s="45" t="n">
        <x:v>39.86666666666667</x:v>
      </x:c>
      <x:c r="J495" s="45" t="n">
        <x:v>29</x:v>
      </x:c>
      <x:c r="K495" s="45" t="n">
        <x:v>62</x:v>
      </x:c>
      <x:c r="L495" s="51" t="str">
        <x:v>Открытая рана других частей шеи</x:v>
      </x:c>
      <x:c r="M495" s="45" t="n">
        <x:v>10</x:v>
      </x:c>
      <x:c r="N495" s="33" t="str">
        <x:v>False</x:v>
      </x:c>
      <x:c r="O495" s="45" t="n">
        <x:v>19</x:v>
      </x:c>
    </x:row>
    <x:row r="496">
      <x:c r="A496" s="33" t="str">
        <x:v>XIX</x:v>
      </x:c>
      <x:c r="B496" s="33" t="str">
        <x:v>S10-S19</x:v>
      </x:c>
      <x:c r="C496" s="51" t="str">
        <x:v>Травмы шеи</x:v>
      </x:c>
      <x:c r="D496" s="33" t="str">
        <x:v>S12</x:v>
      </x:c>
      <x:c r="E496" s="39" t="n">
        <x:v>27</x:v>
      </x:c>
      <x:c r="F496" s="45" t="n">
        <x:v>58</x:v>
      </x:c>
      <x:c r="G496" s="45" t="n">
        <x:v>41.5</x:v>
      </x:c>
      <x:c r="H496" s="45" t="n">
        <x:v>63.5</x:v>
      </x:c>
      <x:c r="I496" s="45" t="n">
        <x:v>51.77777777777778</x:v>
      </x:c>
      <x:c r="J496" s="45" t="n">
        <x:v>8</x:v>
      </x:c>
      <x:c r="K496" s="45" t="n">
        <x:v>96</x:v>
      </x:c>
      <x:c r="L496" s="51" t="str">
        <x:v>Перелом других уточненных шейных позвонков</x:v>
      </x:c>
      <x:c r="M496" s="45" t="n">
        <x:v>22</x:v>
      </x:c>
      <x:c r="N496" s="33" t="str">
        <x:v>False</x:v>
      </x:c>
      <x:c r="O496" s="45" t="n">
        <x:v>19</x:v>
      </x:c>
    </x:row>
    <x:row r="497">
      <x:c r="A497" s="33" t="str">
        <x:v>XIX</x:v>
      </x:c>
      <x:c r="B497" s="33" t="str">
        <x:v>S10-S19</x:v>
      </x:c>
      <x:c r="C497" s="51" t="str">
        <x:v>Травмы шеи</x:v>
      </x:c>
      <x:c r="D497" s="33" t="str">
        <x:v>S13</x:v>
      </x:c>
      <x:c r="E497" s="39" t="n">
        <x:v>5</x:v>
      </x:c>
      <x:c r="F497" s="45" t="n">
        <x:v>64</x:v>
      </x:c>
      <x:c r="G497" s="45" t="n">
        <x:v>52</x:v>
      </x:c>
      <x:c r="H497" s="45" t="n">
        <x:v>70</x:v>
      </x:c>
      <x:c r="I497" s="45" t="n">
        <x:v>59.4</x:v>
      </x:c>
      <x:c r="J497" s="45" t="n">
        <x:v>39</x:v>
      </x:c>
      <x:c r="K497" s="45" t="n">
        <x:v>72</x:v>
      </x:c>
      <x:c r="L497" s="51" t="str">
        <x:v>Травматический разрыв межпозвоночного диска на уровне шеи</x:v>
      </x:c>
      <x:c r="M497" s="45" t="n">
        <x:v>18</x:v>
      </x:c>
      <x:c r="N497" s="33" t="str">
        <x:v>False</x:v>
      </x:c>
      <x:c r="O497" s="45" t="n">
        <x:v>19</x:v>
      </x:c>
    </x:row>
    <x:row r="498">
      <x:c r="A498" s="33" t="str">
        <x:v>XIX</x:v>
      </x:c>
      <x:c r="B498" s="33" t="str">
        <x:v>S10-S19</x:v>
      </x:c>
      <x:c r="C498" s="51" t="str">
        <x:v>Травмы шеи</x:v>
      </x:c>
      <x:c r="D498" s="33" t="str">
        <x:v>S14</x:v>
      </x:c>
      <x:c r="E498" s="39" t="n">
        <x:v>14</x:v>
      </x:c>
      <x:c r="F498" s="45" t="n">
        <x:v>39.5</x:v>
      </x:c>
      <x:c r="G498" s="45" t="n">
        <x:v>26.25</x:v>
      </x:c>
      <x:c r="H498" s="45" t="n">
        <x:v>61.25</x:v>
      </x:c>
      <x:c r="I498" s="45" t="n">
        <x:v>44.857142857142854</x:v>
      </x:c>
      <x:c r="J498" s="45" t="n">
        <x:v>15</x:v>
      </x:c>
      <x:c r="K498" s="45" t="n">
        <x:v>90</x:v>
      </x:c>
      <x:c r="L498" s="51" t="str">
        <x:v>Другие и неуточненные повреждения шейного отдела спинного мозга</x:v>
      </x:c>
      <x:c r="M498" s="45" t="n">
        <x:v>35</x:v>
      </x:c>
      <x:c r="N498" s="33" t="str">
        <x:v>False</x:v>
      </x:c>
      <x:c r="O498" s="45" t="n">
        <x:v>19</x:v>
      </x:c>
    </x:row>
    <x:row r="499">
      <x:c r="A499" s="33" t="str">
        <x:v>XIX</x:v>
      </x:c>
      <x:c r="B499" s="33" t="str">
        <x:v>S10-S19</x:v>
      </x:c>
      <x:c r="C499" s="51" t="str">
        <x:v>Травмы шеи</x:v>
      </x:c>
      <x:c r="D499" s="33" t="str">
        <x:v>S15</x:v>
      </x:c>
      <x:c r="E499" s="39" t="n">
        <x:v>33</x:v>
      </x:c>
      <x:c r="F499" s="45" t="n">
        <x:v>43</x:v>
      </x:c>
      <x:c r="G499" s="45" t="n">
        <x:v>35</x:v>
      </x:c>
      <x:c r="H499" s="45" t="n">
        <x:v>48</x:v>
      </x:c>
      <x:c r="I499" s="45" t="n">
        <x:v>41.81818181818182</x:v>
      </x:c>
      <x:c r="J499" s="45" t="n">
        <x:v>21</x:v>
      </x:c>
      <x:c r="K499" s="45" t="n">
        <x:v>71</x:v>
      </x:c>
      <x:c r="L499" s="51" t="str">
        <x:v>Травма нескольких кровеносных сосудов на уровне шеи</x:v>
      </x:c>
      <x:c r="M499" s="45" t="n">
        <x:v>13</x:v>
      </x:c>
      <x:c r="N499" s="33" t="str">
        <x:v>False</x:v>
      </x:c>
      <x:c r="O499" s="45" t="n">
        <x:v>19</x:v>
      </x:c>
    </x:row>
    <x:row r="500">
      <x:c r="A500" s="33" t="str">
        <x:v>XIX</x:v>
      </x:c>
      <x:c r="B500" s="33" t="str">
        <x:v>S10-S19</x:v>
      </x:c>
      <x:c r="C500" s="51" t="str">
        <x:v>Травмы шеи</x:v>
      </x:c>
      <x:c r="D500" s="33" t="str">
        <x:v>S17</x:v>
      </x:c>
      <x:c r="E500" s="39" t="n">
        <x:v>1</x:v>
      </x:c>
      <x:c r="F500" s="45" t="n">
        <x:v>44</x:v>
      </x:c>
      <x:c r="G500" s="45" t="n">
        <x:v>44</x:v>
      </x:c>
      <x:c r="H500" s="45" t="n">
        <x:v>44</x:v>
      </x:c>
      <x:c r="I500" s="45" t="n">
        <x:v>44</x:v>
      </x:c>
      <x:c r="J500" s="45" t="n">
        <x:v>44</x:v>
      </x:c>
      <x:c r="K500" s="45" t="n">
        <x:v>44</x:v>
      </x:c>
      <x:c r="L500" s="51" t="str">
        <x:v>Размозжение гортани и трахеи</x:v>
      </x:c>
      <x:c r="M500" s="45" t="n">
        <x:v>0</x:v>
      </x:c>
      <x:c r="N500" s="33" t="str">
        <x:v>True</x:v>
      </x:c>
      <x:c r="O500" s="45" t="n">
        <x:v>19</x:v>
      </x:c>
    </x:row>
    <x:row r="501">
      <x:c r="A501" s="33" t="str">
        <x:v>XIX</x:v>
      </x:c>
      <x:c r="B501" s="33" t="str">
        <x:v>S10-S19</x:v>
      </x:c>
      <x:c r="C501" s="51" t="str">
        <x:v>Травмы шеи</x:v>
      </x:c>
      <x:c r="D501" s="33" t="str">
        <x:v>S19</x:v>
      </x:c>
      <x:c r="E501" s="39" t="n">
        <x:v>7</x:v>
      </x:c>
      <x:c r="F501" s="45" t="n">
        <x:v>49</x:v>
      </x:c>
      <x:c r="G501" s="45" t="n">
        <x:v>26.5</x:v>
      </x:c>
      <x:c r="H501" s="45" t="n">
        <x:v>58.5</x:v>
      </x:c>
      <x:c r="I501" s="45" t="n">
        <x:v>46.42857142857143</x:v>
      </x:c>
      <x:c r="J501" s="45" t="n">
        <x:v>22</x:v>
      </x:c>
      <x:c r="K501" s="45" t="n">
        <x:v>84</x:v>
      </x:c>
      <x:c r="L501" s="51" t="str">
        <x:v>Другие уточненные травмы шеи</x:v>
      </x:c>
      <x:c r="M501" s="45" t="n">
        <x:v>32</x:v>
      </x:c>
      <x:c r="N501" s="33" t="str">
        <x:v>False</x:v>
      </x:c>
      <x:c r="O501" s="45" t="n">
        <x:v>19</x:v>
      </x:c>
    </x:row>
    <x:row r="502">
      <x:c r="A502" s="33" t="str">
        <x:v>XIX</x:v>
      </x:c>
      <x:c r="B502" s="33" t="str">
        <x:v>S20-S29</x:v>
      </x:c>
      <x:c r="C502" s="51" t="str">
        <x:v>Травмы грудной клетки</x:v>
      </x:c>
      <x:c r="D502" s="33" t="str">
        <x:v>S20</x:v>
      </x:c>
      <x:c r="E502" s="39" t="n">
        <x:v>3</x:v>
      </x:c>
      <x:c r="F502" s="45" t="n">
        <x:v>68</x:v>
      </x:c>
      <x:c r="G502" s="45" t="n">
        <x:v>64.5</x:v>
      </x:c>
      <x:c r="H502" s="45" t="n">
        <x:v>73.5</x:v>
      </x:c>
      <x:c r="I502" s="45" t="n">
        <x:v>69.33333333333333</x:v>
      </x:c>
      <x:c r="J502" s="45" t="n">
        <x:v>61</x:v>
      </x:c>
      <x:c r="K502" s="45" t="n">
        <x:v>79</x:v>
      </x:c>
      <x:c r="L502" s="51" t="str">
        <x:v>Ушиб грудной клетки</x:v>
      </x:c>
      <x:c r="M502" s="45" t="n">
        <x:v>9</x:v>
      </x:c>
      <x:c r="N502" s="33" t="str">
        <x:v>True</x:v>
      </x:c>
      <x:c r="O502" s="45" t="n">
        <x:v>19</x:v>
      </x:c>
    </x:row>
    <x:row r="503">
      <x:c r="A503" s="33" t="str">
        <x:v>XIX</x:v>
      </x:c>
      <x:c r="B503" s="33" t="str">
        <x:v>S20-S29</x:v>
      </x:c>
      <x:c r="C503" s="51" t="str">
        <x:v>Травмы грудной клетки</x:v>
      </x:c>
      <x:c r="D503" s="33" t="str">
        <x:v>S21</x:v>
      </x:c>
      <x:c r="E503" s="39" t="n">
        <x:v>72</x:v>
      </x:c>
      <x:c r="F503" s="45" t="n">
        <x:v>42.5</x:v>
      </x:c>
      <x:c r="G503" s="45" t="n">
        <x:v>35.75</x:v>
      </x:c>
      <x:c r="H503" s="45" t="n">
        <x:v>55</x:v>
      </x:c>
      <x:c r="I503" s="45" t="n">
        <x:v>45.208333333333336</x:v>
      </x:c>
      <x:c r="J503" s="45" t="n">
        <x:v>18</x:v>
      </x:c>
      <x:c r="K503" s="45" t="n">
        <x:v>80</x:v>
      </x:c>
      <x:c r="L503" s="51" t="str">
        <x:v>Открытая рана передней стенки грудной клетки</x:v>
      </x:c>
      <x:c r="M503" s="45" t="n">
        <x:v>19.25</x:v>
      </x:c>
      <x:c r="N503" s="33" t="str">
        <x:v>False</x:v>
      </x:c>
      <x:c r="O503" s="45" t="n">
        <x:v>19</x:v>
      </x:c>
    </x:row>
    <x:row r="504">
      <x:c r="A504" s="33" t="str">
        <x:v>XIX</x:v>
      </x:c>
      <x:c r="B504" s="33" t="str">
        <x:v>S20-S29</x:v>
      </x:c>
      <x:c r="C504" s="51" t="str">
        <x:v>Травмы грудной клетки</x:v>
      </x:c>
      <x:c r="D504" s="33" t="str">
        <x:v>S22</x:v>
      </x:c>
      <x:c r="E504" s="39" t="n">
        <x:v>68</x:v>
      </x:c>
      <x:c r="F504" s="45" t="n">
        <x:v>55</x:v>
      </x:c>
      <x:c r="G504" s="45" t="n">
        <x:v>48.75</x:v>
      </x:c>
      <x:c r="H504" s="45" t="n">
        <x:v>72.5</x:v>
      </x:c>
      <x:c r="I504" s="45" t="n">
        <x:v>59.5735294117647</x:v>
      </x:c>
      <x:c r="J504" s="45" t="n">
        <x:v>27</x:v>
      </x:c>
      <x:c r="K504" s="45" t="n">
        <x:v>93</x:v>
      </x:c>
      <x:c r="L504" s="51" t="str">
        <x:v>Множественные переломы ребер</x:v>
      </x:c>
      <x:c r="M504" s="45" t="n">
        <x:v>23.75</x:v>
      </x:c>
      <x:c r="N504" s="33" t="str">
        <x:v>False</x:v>
      </x:c>
      <x:c r="O504" s="45" t="n">
        <x:v>19</x:v>
      </x:c>
    </x:row>
    <x:row r="505">
      <x:c r="A505" s="33" t="str">
        <x:v>XIX</x:v>
      </x:c>
      <x:c r="B505" s="33" t="str">
        <x:v>S20-S29</x:v>
      </x:c>
      <x:c r="C505" s="51" t="str">
        <x:v>Травмы грудной клетки</x:v>
      </x:c>
      <x:c r="D505" s="33" t="str">
        <x:v>S23</x:v>
      </x:c>
      <x:c r="E505" s="39" t="n">
        <x:v>1</x:v>
      </x:c>
      <x:c r="F505" s="45" t="n">
        <x:v>32</x:v>
      </x:c>
      <x:c r="G505" s="45" t="n">
        <x:v>32</x:v>
      </x:c>
      <x:c r="H505" s="45" t="n">
        <x:v>32</x:v>
      </x:c>
      <x:c r="I505" s="45" t="n">
        <x:v>32</x:v>
      </x:c>
      <x:c r="J505" s="45" t="n">
        <x:v>32</x:v>
      </x:c>
      <x:c r="K505" s="45" t="n">
        <x:v>32</x:v>
      </x:c>
      <x:c r="L505" s="51" t="str">
        <x:v>Вывих шейного позвонка</x:v>
      </x:c>
      <x:c r="M505" s="45" t="n">
        <x:v>0</x:v>
      </x:c>
      <x:c r="N505" s="33" t="str">
        <x:v>True</x:v>
      </x:c>
      <x:c r="O505" s="45" t="n">
        <x:v>19</x:v>
      </x:c>
    </x:row>
    <x:row r="506">
      <x:c r="A506" s="33" t="str">
        <x:v>XIX</x:v>
      </x:c>
      <x:c r="B506" s="33" t="str">
        <x:v>S20-S29</x:v>
      </x:c>
      <x:c r="C506" s="51" t="str">
        <x:v>Травмы грудной клетки</x:v>
      </x:c>
      <x:c r="D506" s="33" t="str">
        <x:v>S24</x:v>
      </x:c>
      <x:c r="E506" s="39" t="n">
        <x:v>3</x:v>
      </x:c>
      <x:c r="F506" s="45" t="n">
        <x:v>68</x:v>
      </x:c>
      <x:c r="G506" s="45" t="n">
        <x:v>57.5</x:v>
      </x:c>
      <x:c r="H506" s="45" t="n">
        <x:v>76.5</x:v>
      </x:c>
      <x:c r="I506" s="45" t="n">
        <x:v>66.66666666666667</x:v>
      </x:c>
      <x:c r="J506" s="45" t="n">
        <x:v>47</x:v>
      </x:c>
      <x:c r="K506" s="45" t="n">
        <x:v>85</x:v>
      </x:c>
      <x:c r="L506" s="51" t="str">
        <x:v>Повреждение спинного мозга грудного отдела</x:v>
      </x:c>
      <x:c r="M506" s="45" t="n">
        <x:v>19</x:v>
      </x:c>
      <x:c r="N506" s="33" t="str">
        <x:v>True</x:v>
      </x:c>
      <x:c r="O506" s="45" t="n">
        <x:v>19</x:v>
      </x:c>
    </x:row>
    <x:row r="507">
      <x:c r="A507" s="33" t="str">
        <x:v>XIX</x:v>
      </x:c>
      <x:c r="B507" s="33" t="str">
        <x:v>S20-S29</x:v>
      </x:c>
      <x:c r="C507" s="51" t="str">
        <x:v>Травмы грудной клетки</x:v>
      </x:c>
      <x:c r="D507" s="33" t="str">
        <x:v>S25</x:v>
      </x:c>
      <x:c r="E507" s="39" t="n">
        <x:v>40</x:v>
      </x:c>
      <x:c r="F507" s="45" t="n">
        <x:v>42</x:v>
      </x:c>
      <x:c r="G507" s="45" t="n">
        <x:v>33</x:v>
      </x:c>
      <x:c r="H507" s="45" t="n">
        <x:v>54.25</x:v>
      </x:c>
      <x:c r="I507" s="45" t="n">
        <x:v>43.35</x:v>
      </x:c>
      <x:c r="J507" s="45" t="n">
        <x:v>12</x:v>
      </x:c>
      <x:c r="K507" s="45" t="n">
        <x:v>83</x:v>
      </x:c>
      <x:c r="L507" s="51" t="str">
        <x:v>Травма грудного отдела аорты</x:v>
      </x:c>
      <x:c r="M507" s="45" t="n">
        <x:v>21.25</x:v>
      </x:c>
      <x:c r="N507" s="33" t="str">
        <x:v>False</x:v>
      </x:c>
      <x:c r="O507" s="45" t="n">
        <x:v>19</x:v>
      </x:c>
    </x:row>
    <x:row r="508">
      <x:c r="A508" s="33" t="str">
        <x:v>XIX</x:v>
      </x:c>
      <x:c r="B508" s="33" t="str">
        <x:v>S20-S29</x:v>
      </x:c>
      <x:c r="C508" s="51" t="str">
        <x:v>Травмы грудной клетки</x:v>
      </x:c>
      <x:c r="D508" s="33" t="str">
        <x:v>S26</x:v>
      </x:c>
      <x:c r="E508" s="39" t="n">
        <x:v>77</x:v>
      </x:c>
      <x:c r="F508" s="45" t="n">
        <x:v>41</x:v>
      </x:c>
      <x:c r="G508" s="45" t="n">
        <x:v>33</x:v>
      </x:c>
      <x:c r="H508" s="45" t="n">
        <x:v>51</x:v>
      </x:c>
      <x:c r="I508" s="45" t="n">
        <x:v>43.077922077922075</x:v>
      </x:c>
      <x:c r="J508" s="45" t="n">
        <x:v>23</x:v>
      </x:c>
      <x:c r="K508" s="45" t="n">
        <x:v>83</x:v>
      </x:c>
      <x:c r="L508" s="51" t="str">
        <x:v>Травма сердца с кровоизлиянием в сердечную сумку [гемоперикард]</x:v>
      </x:c>
      <x:c r="M508" s="45" t="n">
        <x:v>18</x:v>
      </x:c>
      <x:c r="N508" s="33" t="str">
        <x:v>False</x:v>
      </x:c>
      <x:c r="O508" s="45" t="n">
        <x:v>19</x:v>
      </x:c>
    </x:row>
    <x:row r="509">
      <x:c r="A509" s="33" t="str">
        <x:v>XIX</x:v>
      </x:c>
      <x:c r="B509" s="33" t="str">
        <x:v>S20-S29</x:v>
      </x:c>
      <x:c r="C509" s="51" t="str">
        <x:v>Травмы грудной клетки</x:v>
      </x:c>
      <x:c r="D509" s="33" t="str">
        <x:v>S27</x:v>
      </x:c>
      <x:c r="E509" s="39" t="n">
        <x:v>192</x:v>
      </x:c>
      <x:c r="F509" s="45" t="n">
        <x:v>41</x:v>
      </x:c>
      <x:c r="G509" s="45" t="n">
        <x:v>33</x:v>
      </x:c>
      <x:c r="H509" s="45" t="n">
        <x:v>49</x:v>
      </x:c>
      <x:c r="I509" s="45" t="n">
        <x:v>41.604166666666664</x:v>
      </x:c>
      <x:c r="J509" s="45" t="n">
        <x:v>1</x:v>
      </x:c>
      <x:c r="K509" s="45" t="n">
        <x:v>87</x:v>
      </x:c>
      <x:c r="L509" s="51" t="str">
        <x:v>Травма неуточненного органа грудной полости</x:v>
      </x:c>
      <x:c r="M509" s="45" t="n">
        <x:v>16</x:v>
      </x:c>
      <x:c r="N509" s="33" t="str">
        <x:v>False</x:v>
      </x:c>
      <x:c r="O509" s="45" t="n">
        <x:v>19</x:v>
      </x:c>
    </x:row>
    <x:row r="510">
      <x:c r="A510" s="33" t="str">
        <x:v>XIX</x:v>
      </x:c>
      <x:c r="B510" s="33" t="str">
        <x:v>S20-S29</x:v>
      </x:c>
      <x:c r="C510" s="51" t="str">
        <x:v>Травмы грудной клетки</x:v>
      </x:c>
      <x:c r="D510" s="33" t="str">
        <x:v>S28</x:v>
      </x:c>
      <x:c r="E510" s="39" t="n">
        <x:v>2</x:v>
      </x:c>
      <x:c r="F510" s="45" t="n">
        <x:v>42.5</x:v>
      </x:c>
      <x:c r="G510" s="45" t="n">
        <x:v>41.75</x:v>
      </x:c>
      <x:c r="H510" s="45" t="n">
        <x:v>43.25</x:v>
      </x:c>
      <x:c r="I510" s="45" t="n">
        <x:v>42.5</x:v>
      </x:c>
      <x:c r="J510" s="45" t="n">
        <x:v>41</x:v>
      </x:c>
      <x:c r="K510" s="45" t="n">
        <x:v>44</x:v>
      </x:c>
      <x:c r="L510" s="51" t="str">
        <x:v>Травматическая ампутация части грудной клетки</x:v>
      </x:c>
      <x:c r="M510" s="45" t="n">
        <x:v>1.5</x:v>
      </x:c>
      <x:c r="N510" s="33" t="str">
        <x:v>True</x:v>
      </x:c>
      <x:c r="O510" s="45" t="n">
        <x:v>19</x:v>
      </x:c>
    </x:row>
    <x:row r="511">
      <x:c r="A511" s="33" t="str">
        <x:v>XIX</x:v>
      </x:c>
      <x:c r="B511" s="33" t="str">
        <x:v>S20-S29</x:v>
      </x:c>
      <x:c r="C511" s="51" t="str">
        <x:v>Травмы грудной клетки</x:v>
      </x:c>
      <x:c r="D511" s="33" t="str">
        <x:v>S29</x:v>
      </x:c>
      <x:c r="E511" s="39" t="n">
        <x:v>37</x:v>
      </x:c>
      <x:c r="F511" s="45" t="n">
        <x:v>48</x:v>
      </x:c>
      <x:c r="G511" s="45" t="n">
        <x:v>40</x:v>
      </x:c>
      <x:c r="H511" s="45" t="n">
        <x:v>57</x:v>
      </x:c>
      <x:c r="I511" s="45" t="n">
        <x:v>48.24324324324324</x:v>
      </x:c>
      <x:c r="J511" s="45" t="n">
        <x:v>15</x:v>
      </x:c>
      <x:c r="K511" s="45" t="n">
        <x:v>83</x:v>
      </x:c>
      <x:c r="L511" s="51" t="str">
        <x:v>Множественные травмы грудной клетки</x:v>
      </x:c>
      <x:c r="M511" s="45" t="n">
        <x:v>17</x:v>
      </x:c>
      <x:c r="N511" s="33" t="str">
        <x:v>False</x:v>
      </x:c>
      <x:c r="O511" s="45" t="n">
        <x:v>19</x:v>
      </x:c>
    </x:row>
    <x:row r="512">
      <x:c r="A512" s="33" t="str">
        <x:v>XIX</x:v>
      </x:c>
      <x:c r="B512" s="33" t="str">
        <x:v>S30-S39</x:v>
      </x:c>
      <x:c r="C512" s="51" t="str">
        <x:v>Травмы живота, нижней части спины, поясничного отдела позвоночника и таза</x:v>
      </x:c>
      <x:c r="D512" s="33" t="str">
        <x:v>S30</x:v>
      </x:c>
      <x:c r="E512" s="39" t="n">
        <x:v>2</x:v>
      </x:c>
      <x:c r="F512" s="45" t="n">
        <x:v>54.5</x:v>
      </x:c>
      <x:c r="G512" s="45" t="n">
        <x:v>49.75</x:v>
      </x:c>
      <x:c r="H512" s="45" t="n">
        <x:v>59.25</x:v>
      </x:c>
      <x:c r="I512" s="45" t="n">
        <x:v>54.5</x:v>
      </x:c>
      <x:c r="J512" s="45" t="n">
        <x:v>45</x:v>
      </x:c>
      <x:c r="K512" s="45" t="n">
        <x:v>64</x:v>
      </x:c>
      <x:c r="L512" s="51" t="str">
        <x:v>Ушиб стенки живота</x:v>
      </x:c>
      <x:c r="M512" s="45" t="n">
        <x:v>9.5</x:v>
      </x:c>
      <x:c r="N512" s="33" t="str">
        <x:v>True</x:v>
      </x:c>
      <x:c r="O512" s="45" t="n">
        <x:v>19</x:v>
      </x:c>
    </x:row>
    <x:row r="513">
      <x:c r="A513" s="33" t="str">
        <x:v>XIX</x:v>
      </x:c>
      <x:c r="B513" s="33" t="str">
        <x:v>S30-S39</x:v>
      </x:c>
      <x:c r="C513" s="51" t="str">
        <x:v>Травмы живота, нижней части спины, поясничного отдела позвоночника и таза</x:v>
      </x:c>
      <x:c r="D513" s="33" t="str">
        <x:v>S31</x:v>
      </x:c>
      <x:c r="E513" s="39" t="n">
        <x:v>13</x:v>
      </x:c>
      <x:c r="F513" s="45" t="n">
        <x:v>42</x:v>
      </x:c>
      <x:c r="G513" s="45" t="n">
        <x:v>33</x:v>
      </x:c>
      <x:c r="H513" s="45" t="n">
        <x:v>50</x:v>
      </x:c>
      <x:c r="I513" s="45" t="n">
        <x:v>41.92307692307692</x:v>
      </x:c>
      <x:c r="J513" s="45" t="n">
        <x:v>26</x:v>
      </x:c>
      <x:c r="K513" s="45" t="n">
        <x:v>59</x:v>
      </x:c>
      <x:c r="L513" s="51" t="str">
        <x:v>Открытая рана брюшной стенки</x:v>
      </x:c>
      <x:c r="M513" s="45" t="n">
        <x:v>17</x:v>
      </x:c>
      <x:c r="N513" s="33" t="str">
        <x:v>False</x:v>
      </x:c>
      <x:c r="O513" s="45" t="n">
        <x:v>19</x:v>
      </x:c>
    </x:row>
    <x:row r="514">
      <x:c r="A514" s="33" t="str">
        <x:v>XIX</x:v>
      </x:c>
      <x:c r="B514" s="33" t="str">
        <x:v>S30-S39</x:v>
      </x:c>
      <x:c r="C514" s="51" t="str">
        <x:v>Травмы живота, нижней части спины, поясничного отдела позвоночника и таза</x:v>
      </x:c>
      <x:c r="D514" s="33" t="str">
        <x:v>S32</x:v>
      </x:c>
      <x:c r="E514" s="39" t="n">
        <x:v>7</x:v>
      </x:c>
      <x:c r="F514" s="45" t="n">
        <x:v>60</x:v>
      </x:c>
      <x:c r="G514" s="45" t="n">
        <x:v>48</x:v>
      </x:c>
      <x:c r="H514" s="45" t="n">
        <x:v>74</x:v>
      </x:c>
      <x:c r="I514" s="45" t="n">
        <x:v>59.714285714285715</x:v>
      </x:c>
      <x:c r="J514" s="45" t="n">
        <x:v>29</x:v>
      </x:c>
      <x:c r="K514" s="45" t="n">
        <x:v>85</x:v>
      </x:c>
      <x:c r="L514" s="51" t="str">
        <x:v>Множественные переломы пояснично-крестцового отдела позвоночника и костей таза</x:v>
      </x:c>
      <x:c r="M514" s="45" t="n">
        <x:v>26</x:v>
      </x:c>
      <x:c r="N514" s="33" t="str">
        <x:v>False</x:v>
      </x:c>
      <x:c r="O514" s="45" t="n">
        <x:v>19</x:v>
      </x:c>
    </x:row>
    <x:row r="515">
      <x:c r="A515" s="33" t="str">
        <x:v>XIX</x:v>
      </x:c>
      <x:c r="B515" s="33" t="str">
        <x:v>S30-S39</x:v>
      </x:c>
      <x:c r="C515" s="51" t="str">
        <x:v>Травмы живота, нижней части спины, поясничного отдела позвоночника и таза</x:v>
      </x:c>
      <x:c r="D515" s="33" t="str">
        <x:v>S35</x:v>
      </x:c>
      <x:c r="E515" s="39" t="n">
        <x:v>20</x:v>
      </x:c>
      <x:c r="F515" s="45" t="n">
        <x:v>40</x:v>
      </x:c>
      <x:c r="G515" s="45" t="n">
        <x:v>29.5</x:v>
      </x:c>
      <x:c r="H515" s="45" t="n">
        <x:v>55.25</x:v>
      </x:c>
      <x:c r="I515" s="45" t="n">
        <x:v>43.75</x:v>
      </x:c>
      <x:c r="J515" s="45" t="n">
        <x:v>24</x:v>
      </x:c>
      <x:c r="K515" s="45" t="n">
        <x:v>82</x:v>
      </x:c>
      <x:c r="L515" s="51" t="str">
        <x:v>Травма чревной или брыжеечной артерии</x:v>
      </x:c>
      <x:c r="M515" s="45" t="n">
        <x:v>25.75</x:v>
      </x:c>
      <x:c r="N515" s="33" t="str">
        <x:v>False</x:v>
      </x:c>
      <x:c r="O515" s="45" t="n">
        <x:v>19</x:v>
      </x:c>
    </x:row>
    <x:row r="516">
      <x:c r="A516" s="33" t="str">
        <x:v>XIX</x:v>
      </x:c>
      <x:c r="B516" s="33" t="str">
        <x:v>S30-S39</x:v>
      </x:c>
      <x:c r="C516" s="51" t="str">
        <x:v>Травмы живота, нижней части спины, поясничного отдела позвоночника и таза</x:v>
      </x:c>
      <x:c r="D516" s="33" t="str">
        <x:v>S36</x:v>
      </x:c>
      <x:c r="E516" s="39" t="n">
        <x:v>106</x:v>
      </x:c>
      <x:c r="F516" s="45" t="n">
        <x:v>43.5</x:v>
      </x:c>
      <x:c r="G516" s="45" t="n">
        <x:v>33</x:v>
      </x:c>
      <x:c r="H516" s="45" t="n">
        <x:v>54.75</x:v>
      </x:c>
      <x:c r="I516" s="45" t="n">
        <x:v>43.924528301886795</x:v>
      </x:c>
      <x:c r="J516" s="45" t="n">
        <x:v>15</x:v>
      </x:c>
      <x:c r="K516" s="45" t="n">
        <x:v>80</x:v>
      </x:c>
      <x:c r="L516" s="51" t="str">
        <x:v>Травма печени или желчного пузыря</x:v>
      </x:c>
      <x:c r="M516" s="45" t="n">
        <x:v>21.75</x:v>
      </x:c>
      <x:c r="N516" s="33" t="str">
        <x:v>False</x:v>
      </x:c>
      <x:c r="O516" s="45" t="n">
        <x:v>19</x:v>
      </x:c>
    </x:row>
    <x:row r="517">
      <x:c r="A517" s="33" t="str">
        <x:v>XIX</x:v>
      </x:c>
      <x:c r="B517" s="33" t="str">
        <x:v>S30-S39</x:v>
      </x:c>
      <x:c r="C517" s="51" t="str">
        <x:v>Травмы живота, нижней части спины, поясничного отдела позвоночника и таза</x:v>
      </x:c>
      <x:c r="D517" s="33" t="str">
        <x:v>S37</x:v>
      </x:c>
      <x:c r="E517" s="39" t="n">
        <x:v>16</x:v>
      </x:c>
      <x:c r="F517" s="45" t="n">
        <x:v>50</x:v>
      </x:c>
      <x:c r="G517" s="45" t="n">
        <x:v>41.75</x:v>
      </x:c>
      <x:c r="H517" s="45" t="n">
        <x:v>53.25</x:v>
      </x:c>
      <x:c r="I517" s="45" t="n">
        <x:v>49.0625</x:v>
      </x:c>
      <x:c r="J517" s="45" t="n">
        <x:v>33</x:v>
      </x:c>
      <x:c r="K517" s="45" t="n">
        <x:v>67</x:v>
      </x:c>
      <x:c r="L517" s="51" t="str">
        <x:v>Травма мочевого пузыря</x:v>
      </x:c>
      <x:c r="M517" s="45" t="n">
        <x:v>11.5</x:v>
      </x:c>
      <x:c r="N517" s="33" t="str">
        <x:v>False</x:v>
      </x:c>
      <x:c r="O517" s="45" t="n">
        <x:v>19</x:v>
      </x:c>
    </x:row>
    <x:row r="518">
      <x:c r="A518" s="33" t="str">
        <x:v>XIX</x:v>
      </x:c>
      <x:c r="B518" s="33" t="str">
        <x:v>S30-S39</x:v>
      </x:c>
      <x:c r="C518" s="51" t="str">
        <x:v>Травмы живота, нижней части спины, поясничного отдела позвоночника и таза</x:v>
      </x:c>
      <x:c r="D518" s="33" t="str">
        <x:v>S39</x:v>
      </x:c>
      <x:c r="E518" s="39" t="n">
        <x:v>4</x:v>
      </x:c>
      <x:c r="F518" s="45" t="n">
        <x:v>38</x:v>
      </x:c>
      <x:c r="G518" s="45" t="n">
        <x:v>24</x:v>
      </x:c>
      <x:c r="H518" s="45" t="n">
        <x:v>53.5</x:v>
      </x:c>
      <x:c r="I518" s="45" t="n">
        <x:v>39.5</x:v>
      </x:c>
      <x:c r="J518" s="45" t="n">
        <x:v>24</x:v>
      </x:c>
      <x:c r="K518" s="45" t="n">
        <x:v>58</x:v>
      </x:c>
      <x:c r="L518" s="51" t="str">
        <x:v>Другие уточненные травмы живота, нижней части спины и таза</x:v>
      </x:c>
      <x:c r="M518" s="45" t="n">
        <x:v>29.5</x:v>
      </x:c>
      <x:c r="N518" s="33" t="str">
        <x:v>True</x:v>
      </x:c>
      <x:c r="O518" s="45" t="n">
        <x:v>19</x:v>
      </x:c>
    </x:row>
    <x:row r="519">
      <x:c r="A519" s="33" t="str">
        <x:v>XIX</x:v>
      </x:c>
      <x:c r="B519" s="33" t="str">
        <x:v>S40-S49</x:v>
      </x:c>
      <x:c r="C519" s="51" t="str">
        <x:v>Травмы плечевого пояса и плеча</x:v>
      </x:c>
      <x:c r="D519" s="33" t="str">
        <x:v>S41</x:v>
      </x:c>
      <x:c r="E519" s="39" t="n">
        <x:v>1</x:v>
      </x:c>
      <x:c r="F519" s="45" t="n">
        <x:v>48</x:v>
      </x:c>
      <x:c r="G519" s="45" t="n">
        <x:v>48</x:v>
      </x:c>
      <x:c r="H519" s="45" t="n">
        <x:v>48</x:v>
      </x:c>
      <x:c r="I519" s="45" t="n">
        <x:v>48</x:v>
      </x:c>
      <x:c r="J519" s="45" t="n">
        <x:v>48</x:v>
      </x:c>
      <x:c r="K519" s="45" t="n">
        <x:v>48</x:v>
      </x:c>
      <x:c r="L519" s="51" t="str">
        <x:v>Открытая рана плеча</x:v>
      </x:c>
      <x:c r="M519" s="45" t="n">
        <x:v>0</x:v>
      </x:c>
      <x:c r="N519" s="33" t="str">
        <x:v>True</x:v>
      </x:c>
      <x:c r="O519" s="45" t="n">
        <x:v>19</x:v>
      </x:c>
    </x:row>
    <x:row r="520">
      <x:c r="A520" s="33" t="str">
        <x:v>XIX</x:v>
      </x:c>
      <x:c r="B520" s="33" t="str">
        <x:v>S40-S49</x:v>
      </x:c>
      <x:c r="C520" s="51" t="str">
        <x:v>Травмы плечевого пояса и плеча</x:v>
      </x:c>
      <x:c r="D520" s="33" t="str">
        <x:v>S42</x:v>
      </x:c>
      <x:c r="E520" s="39" t="n">
        <x:v>15</x:v>
      </x:c>
      <x:c r="F520" s="45" t="n">
        <x:v>69</x:v>
      </x:c>
      <x:c r="G520" s="45" t="n">
        <x:v>65</x:v>
      </x:c>
      <x:c r="H520" s="45" t="n">
        <x:v>78</x:v>
      </x:c>
      <x:c r="I520" s="45" t="n">
        <x:v>71.26666666666667</x:v>
      </x:c>
      <x:c r="J520" s="45" t="n">
        <x:v>53</x:v>
      </x:c>
      <x:c r="K520" s="45" t="n">
        <x:v>92</x:v>
      </x:c>
      <x:c r="L520" s="51" t="str">
        <x:v>Перелом верхнего конца плечевой кости</x:v>
      </x:c>
      <x:c r="M520" s="45" t="n">
        <x:v>13</x:v>
      </x:c>
      <x:c r="N520" s="33" t="str">
        <x:v>False</x:v>
      </x:c>
      <x:c r="O520" s="45" t="n">
        <x:v>19</x:v>
      </x:c>
    </x:row>
    <x:row r="521">
      <x:c r="A521" s="33" t="str">
        <x:v>XIX</x:v>
      </x:c>
      <x:c r="B521" s="33" t="str">
        <x:v>S40-S49</x:v>
      </x:c>
      <x:c r="C521" s="51" t="str">
        <x:v>Травмы плечевого пояса и плеча</x:v>
      </x:c>
      <x:c r="D521" s="33" t="str">
        <x:v>S45</x:v>
      </x:c>
      <x:c r="E521" s="39" t="n">
        <x:v>15</x:v>
      </x:c>
      <x:c r="F521" s="45" t="n">
        <x:v>40</x:v>
      </x:c>
      <x:c r="G521" s="45" t="n">
        <x:v>36.5</x:v>
      </x:c>
      <x:c r="H521" s="45" t="n">
        <x:v>53.5</x:v>
      </x:c>
      <x:c r="I521" s="45" t="n">
        <x:v>47.53333333333333</x:v>
      </x:c>
      <x:c r="J521" s="45" t="n">
        <x:v>24</x:v>
      </x:c>
      <x:c r="K521" s="45" t="n">
        <x:v>85</x:v>
      </x:c>
      <x:c r="L521" s="51" t="str">
        <x:v>Травма плечевой артерии</x:v>
      </x:c>
      <x:c r="M521" s="45" t="n">
        <x:v>17</x:v>
      </x:c>
      <x:c r="N521" s="33" t="str">
        <x:v>False</x:v>
      </x:c>
      <x:c r="O521" s="45" t="n">
        <x:v>19</x:v>
      </x:c>
    </x:row>
    <x:row r="522">
      <x:c r="A522" s="33" t="str">
        <x:v>XIX</x:v>
      </x:c>
      <x:c r="B522" s="33" t="str">
        <x:v>S40-S49</x:v>
      </x:c>
      <x:c r="C522" s="51" t="str">
        <x:v>Травмы плечевого пояса и плеча</x:v>
      </x:c>
      <x:c r="D522" s="33" t="str">
        <x:v>S48</x:v>
      </x:c>
      <x:c r="E522" s="39" t="n">
        <x:v>1</x:v>
      </x:c>
      <x:c r="F522" s="45" t="n">
        <x:v>39</x:v>
      </x:c>
      <x:c r="G522" s="45" t="n">
        <x:v>39</x:v>
      </x:c>
      <x:c r="H522" s="45" t="n">
        <x:v>39</x:v>
      </x:c>
      <x:c r="I522" s="45" t="n">
        <x:v>39</x:v>
      </x:c>
      <x:c r="J522" s="45" t="n">
        <x:v>39</x:v>
      </x:c>
      <x:c r="K522" s="45" t="n">
        <x:v>39</x:v>
      </x:c>
      <x:c r="L522" s="51" t="str">
        <x:v>Травматическая ампутация плечевого пояса и плеча на неуточненном уровне</x:v>
      </x:c>
      <x:c r="M522" s="45" t="n">
        <x:v>0</x:v>
      </x:c>
      <x:c r="N522" s="33" t="str">
        <x:v>True</x:v>
      </x:c>
      <x:c r="O522" s="45" t="n">
        <x:v>19</x:v>
      </x:c>
    </x:row>
    <x:row r="523">
      <x:c r="A523" s="33" t="str">
        <x:v>XIX</x:v>
      </x:c>
      <x:c r="B523" s="33" t="str">
        <x:v>S50-S59</x:v>
      </x:c>
      <x:c r="C523" s="51" t="str">
        <x:v>Травмы локтя и предплечья</x:v>
      </x:c>
      <x:c r="D523" s="33" t="str">
        <x:v>S51</x:v>
      </x:c>
      <x:c r="E523" s="39" t="n">
        <x:v>9</x:v>
      </x:c>
      <x:c r="F523" s="45" t="n">
        <x:v>40</x:v>
      </x:c>
      <x:c r="G523" s="45" t="n">
        <x:v>31</x:v>
      </x:c>
      <x:c r="H523" s="45" t="n">
        <x:v>60</x:v>
      </x:c>
      <x:c r="I523" s="45" t="n">
        <x:v>45.333333333333336</x:v>
      </x:c>
      <x:c r="J523" s="45" t="n">
        <x:v>21</x:v>
      </x:c>
      <x:c r="K523" s="45" t="n">
        <x:v>80</x:v>
      </x:c>
      <x:c r="L523" s="51" t="str">
        <x:v>Открытая рана локтя</x:v>
      </x:c>
      <x:c r="M523" s="45" t="n">
        <x:v>29</x:v>
      </x:c>
      <x:c r="N523" s="33" t="str">
        <x:v>False</x:v>
      </x:c>
      <x:c r="O523" s="45" t="n">
        <x:v>19</x:v>
      </x:c>
    </x:row>
    <x:row r="524">
      <x:c r="A524" s="33" t="str">
        <x:v>XIX</x:v>
      </x:c>
      <x:c r="B524" s="33" t="str">
        <x:v>S50-S59</x:v>
      </x:c>
      <x:c r="C524" s="51" t="str">
        <x:v>Травмы локтя и предплечья</x:v>
      </x:c>
      <x:c r="D524" s="33" t="str">
        <x:v>S52</x:v>
      </x:c>
      <x:c r="E524" s="39" t="n">
        <x:v>1</x:v>
      </x:c>
      <x:c r="F524" s="45" t="n">
        <x:v>70</x:v>
      </x:c>
      <x:c r="G524" s="45" t="n">
        <x:v>70</x:v>
      </x:c>
      <x:c r="H524" s="45" t="n">
        <x:v>70</x:v>
      </x:c>
      <x:c r="I524" s="45" t="n">
        <x:v>70</x:v>
      </x:c>
      <x:c r="J524" s="45" t="n">
        <x:v>70</x:v>
      </x:c>
      <x:c r="K524" s="45" t="n">
        <x:v>70</x:v>
      </x:c>
      <x:c r="L524" s="51" t="str">
        <x:v>Сочетанный перелом нижних концов локтевой и лучевой костей</x:v>
      </x:c>
      <x:c r="M524" s="45" t="n">
        <x:v>0</x:v>
      </x:c>
      <x:c r="N524" s="33" t="str">
        <x:v>True</x:v>
      </x:c>
      <x:c r="O524" s="45" t="n">
        <x:v>19</x:v>
      </x:c>
    </x:row>
    <x:row r="525">
      <x:c r="A525" s="33" t="str">
        <x:v>XIX</x:v>
      </x:c>
      <x:c r="B525" s="33" t="str">
        <x:v>S50-S59</x:v>
      </x:c>
      <x:c r="C525" s="51" t="str">
        <x:v>Травмы локтя и предплечья</x:v>
      </x:c>
      <x:c r="D525" s="33" t="str">
        <x:v>S55</x:v>
      </x:c>
      <x:c r="E525" s="39" t="n">
        <x:v>15</x:v>
      </x:c>
      <x:c r="F525" s="45" t="n">
        <x:v>47</x:v>
      </x:c>
      <x:c r="G525" s="45" t="n">
        <x:v>39.5</x:v>
      </x:c>
      <x:c r="H525" s="45" t="n">
        <x:v>53.5</x:v>
      </x:c>
      <x:c r="I525" s="45" t="n">
        <x:v>48.93333333333333</x:v>
      </x:c>
      <x:c r="J525" s="45" t="n">
        <x:v>30</x:v>
      </x:c>
      <x:c r="K525" s="45" t="n">
        <x:v>78</x:v>
      </x:c>
      <x:c r="L525" s="51" t="str">
        <x:v>Травма нескольких кровеносных сосудов на уровне предплечья</x:v>
      </x:c>
      <x:c r="M525" s="45" t="n">
        <x:v>14</x:v>
      </x:c>
      <x:c r="N525" s="33" t="str">
        <x:v>False</x:v>
      </x:c>
      <x:c r="O525" s="45" t="n">
        <x:v>19</x:v>
      </x:c>
    </x:row>
    <x:row r="526">
      <x:c r="A526" s="33" t="str">
        <x:v>XIX</x:v>
      </x:c>
      <x:c r="B526" s="33" t="str">
        <x:v>S60-S69</x:v>
      </x:c>
      <x:c r="C526" s="51" t="str">
        <x:v>Травмы запястья и кисти</x:v>
      </x:c>
      <x:c r="D526" s="33" t="str">
        <x:v>S61</x:v>
      </x:c>
      <x:c r="E526" s="39" t="n">
        <x:v>1</x:v>
      </x:c>
      <x:c r="F526" s="45" t="n">
        <x:v>40</x:v>
      </x:c>
      <x:c r="G526" s="45" t="n">
        <x:v>40</x:v>
      </x:c>
      <x:c r="H526" s="45" t="n">
        <x:v>40</x:v>
      </x:c>
      <x:c r="I526" s="45" t="n">
        <x:v>40</x:v>
      </x:c>
      <x:c r="J526" s="45" t="n">
        <x:v>40</x:v>
      </x:c>
      <x:c r="K526" s="45" t="n">
        <x:v>40</x:v>
      </x:c>
      <x:c r="L526" s="51" t="str">
        <x:v>Открытая рана кисти</x:v>
      </x:c>
      <x:c r="M526" s="45" t="n">
        <x:v>0</x:v>
      </x:c>
      <x:c r="N526" s="33" t="str">
        <x:v>True</x:v>
      </x:c>
      <x:c r="O526" s="45" t="n">
        <x:v>19</x:v>
      </x:c>
    </x:row>
    <x:row r="527">
      <x:c r="A527" s="33" t="str">
        <x:v>XIX</x:v>
      </x:c>
      <x:c r="B527" s="33" t="str">
        <x:v>S70-S79</x:v>
      </x:c>
      <x:c r="C527" s="51" t="str">
        <x:v>Травмы области тазобедренного сустава и бедра</x:v>
      </x:c>
      <x:c r="D527" s="33" t="str">
        <x:v>S71</x:v>
      </x:c>
      <x:c r="E527" s="39" t="n">
        <x:v>7</x:v>
      </x:c>
      <x:c r="F527" s="45" t="n">
        <x:v>46</x:v>
      </x:c>
      <x:c r="G527" s="45" t="n">
        <x:v>36</x:v>
      </x:c>
      <x:c r="H527" s="45" t="n">
        <x:v>50.5</x:v>
      </x:c>
      <x:c r="I527" s="45" t="n">
        <x:v>42.42857142857143</x:v>
      </x:c>
      <x:c r="J527" s="45" t="n">
        <x:v>24</x:v>
      </x:c>
      <x:c r="K527" s="45" t="n">
        <x:v>54</x:v>
      </x:c>
      <x:c r="L527" s="51" t="str">
        <x:v>Открытая рана бедра</x:v>
      </x:c>
      <x:c r="M527" s="45" t="n">
        <x:v>14.5</x:v>
      </x:c>
      <x:c r="N527" s="33" t="str">
        <x:v>False</x:v>
      </x:c>
      <x:c r="O527" s="45" t="n">
        <x:v>19</x:v>
      </x:c>
    </x:row>
    <x:row r="528">
      <x:c r="A528" s="33" t="str">
        <x:v>XIX</x:v>
      </x:c>
      <x:c r="B528" s="33" t="str">
        <x:v>S70-S79</x:v>
      </x:c>
      <x:c r="C528" s="51" t="str">
        <x:v>Травмы области тазобедренного сустава и бедра</x:v>
      </x:c>
      <x:c r="D528" s="33" t="str">
        <x:v>S72</x:v>
      </x:c>
      <x:c r="E528" s="39" t="n">
        <x:v>110</x:v>
      </x:c>
      <x:c r="F528" s="45" t="n">
        <x:v>81</x:v>
      </x:c>
      <x:c r="G528" s="45" t="n">
        <x:v>74.25</x:v>
      </x:c>
      <x:c r="H528" s="45" t="n">
        <x:v>86</x:v>
      </x:c>
      <x:c r="I528" s="45" t="n">
        <x:v>79.65454545454546</x:v>
      </x:c>
      <x:c r="J528" s="45" t="n">
        <x:v>37</x:v>
      </x:c>
      <x:c r="K528" s="45" t="n">
        <x:v>98</x:v>
      </x:c>
      <x:c r="L528" s="51" t="str">
        <x:v>Перелом шейки бедра</x:v>
      </x:c>
      <x:c r="M528" s="45" t="n">
        <x:v>11.75</x:v>
      </x:c>
      <x:c r="N528" s="33" t="str">
        <x:v>False</x:v>
      </x:c>
      <x:c r="O528" s="45" t="n">
        <x:v>19</x:v>
      </x:c>
    </x:row>
    <x:row r="529">
      <x:c r="A529" s="33" t="str">
        <x:v>XIX</x:v>
      </x:c>
      <x:c r="B529" s="33" t="str">
        <x:v>S70-S79</x:v>
      </x:c>
      <x:c r="C529" s="51" t="str">
        <x:v>Травмы области тазобедренного сустава и бедра</x:v>
      </x:c>
      <x:c r="D529" s="33" t="str">
        <x:v>S75</x:v>
      </x:c>
      <x:c r="E529" s="39" t="n">
        <x:v>30</x:v>
      </x:c>
      <x:c r="F529" s="45" t="n">
        <x:v>42</x:v>
      </x:c>
      <x:c r="G529" s="45" t="n">
        <x:v>36</x:v>
      </x:c>
      <x:c r="H529" s="45" t="n">
        <x:v>46</x:v>
      </x:c>
      <x:c r="I529" s="45" t="n">
        <x:v>42.1</x:v>
      </x:c>
      <x:c r="J529" s="45" t="n">
        <x:v>25</x:v>
      </x:c>
      <x:c r="K529" s="45" t="n">
        <x:v>73</x:v>
      </x:c>
      <x:c r="L529" s="51" t="str">
        <x:v>Травма нескольких кровеносных сосудов на уровне тазобедренного сустава и бедра</x:v>
      </x:c>
      <x:c r="M529" s="45" t="n">
        <x:v>10</x:v>
      </x:c>
      <x:c r="N529" s="33" t="str">
        <x:v>False</x:v>
      </x:c>
      <x:c r="O529" s="45" t="n">
        <x:v>19</x:v>
      </x:c>
    </x:row>
    <x:row r="530">
      <x:c r="A530" s="33" t="str">
        <x:v>XIX</x:v>
      </x:c>
      <x:c r="B530" s="33" t="str">
        <x:v>S70-S79</x:v>
      </x:c>
      <x:c r="C530" s="51" t="str">
        <x:v>Травмы области тазобедренного сустава и бедра</x:v>
      </x:c>
      <x:c r="D530" s="33" t="str">
        <x:v>S76</x:v>
      </x:c>
      <x:c r="E530" s="39" t="n">
        <x:v>1</x:v>
      </x:c>
      <x:c r="F530" s="45" t="n">
        <x:v>39</x:v>
      </x:c>
      <x:c r="G530" s="45" t="n">
        <x:v>39</x:v>
      </x:c>
      <x:c r="H530" s="45" t="n">
        <x:v>39</x:v>
      </x:c>
      <x:c r="I530" s="45" t="n">
        <x:v>39</x:v>
      </x:c>
      <x:c r="J530" s="45" t="n">
        <x:v>39</x:v>
      </x:c>
      <x:c r="K530" s="45" t="n">
        <x:v>39</x:v>
      </x:c>
      <x:c r="L530" s="51" t="str">
        <x:v>Травма нескольких мышц и сухожилий на уровне тазобедренного сустава и бедра</x:v>
      </x:c>
      <x:c r="M530" s="45" t="n">
        <x:v>0</x:v>
      </x:c>
      <x:c r="N530" s="33" t="str">
        <x:v>True</x:v>
      </x:c>
      <x:c r="O530" s="45" t="n">
        <x:v>19</x:v>
      </x:c>
    </x:row>
    <x:row r="531">
      <x:c r="A531" s="33" t="str">
        <x:v>XIX</x:v>
      </x:c>
      <x:c r="B531" s="33" t="str">
        <x:v>S70-S79</x:v>
      </x:c>
      <x:c r="C531" s="51" t="str">
        <x:v>Травмы области тазобедренного сустава и бедра</x:v>
      </x:c>
      <x:c r="D531" s="33" t="str">
        <x:v>S77</x:v>
      </x:c>
      <x:c r="E531" s="39" t="n">
        <x:v>1</x:v>
      </x:c>
      <x:c r="F531" s="45" t="n">
        <x:v>41</x:v>
      </x:c>
      <x:c r="G531" s="45" t="n">
        <x:v>41</x:v>
      </x:c>
      <x:c r="H531" s="45" t="n">
        <x:v>41</x:v>
      </x:c>
      <x:c r="I531" s="45" t="n">
        <x:v>41</x:v>
      </x:c>
      <x:c r="J531" s="45" t="n">
        <x:v>41</x:v>
      </x:c>
      <x:c r="K531" s="45" t="n">
        <x:v>41</x:v>
      </x:c>
      <x:c r="L531" s="51" t="str">
        <x:v>Размозжение бедра</x:v>
      </x:c>
      <x:c r="M531" s="45" t="n">
        <x:v>0</x:v>
      </x:c>
      <x:c r="N531" s="33" t="str">
        <x:v>True</x:v>
      </x:c>
      <x:c r="O531" s="45" t="n">
        <x:v>19</x:v>
      </x:c>
    </x:row>
    <x:row r="532">
      <x:c r="A532" s="33" t="str">
        <x:v>XIX</x:v>
      </x:c>
      <x:c r="B532" s="33" t="str">
        <x:v>S70-S79</x:v>
      </x:c>
      <x:c r="C532" s="51" t="str">
        <x:v>Травмы области тазобедренного сустава и бедра</x:v>
      </x:c>
      <x:c r="D532" s="33" t="str">
        <x:v>S78</x:v>
      </x:c>
      <x:c r="E532" s="39" t="n">
        <x:v>1</x:v>
      </x:c>
      <x:c r="F532" s="45" t="n">
        <x:v>63</x:v>
      </x:c>
      <x:c r="G532" s="45" t="n">
        <x:v>63</x:v>
      </x:c>
      <x:c r="H532" s="45" t="n">
        <x:v>63</x:v>
      </x:c>
      <x:c r="I532" s="45" t="n">
        <x:v>63</x:v>
      </x:c>
      <x:c r="J532" s="45" t="n">
        <x:v>63</x:v>
      </x:c>
      <x:c r="K532" s="45" t="n">
        <x:v>63</x:v>
      </x:c>
      <x:c r="L532" s="51" t="str">
        <x:v>Травматическая ампутация бедра</x:v>
      </x:c>
      <x:c r="M532" s="45" t="n">
        <x:v>0</x:v>
      </x:c>
      <x:c r="N532" s="33" t="str">
        <x:v>True</x:v>
      </x:c>
      <x:c r="O532" s="45" t="n">
        <x:v>19</x:v>
      </x:c>
    </x:row>
    <x:row r="533">
      <x:c r="A533" s="33" t="str">
        <x:v>XIX</x:v>
      </x:c>
      <x:c r="B533" s="33" t="str">
        <x:v>S70-S79</x:v>
      </x:c>
      <x:c r="C533" s="51" t="str">
        <x:v>Травмы области тазобедренного сустава и бедра</x:v>
      </x:c>
      <x:c r="D533" s="33" t="str">
        <x:v>S79</x:v>
      </x:c>
      <x:c r="E533" s="39" t="n">
        <x:v>2</x:v>
      </x:c>
      <x:c r="F533" s="45" t="n">
        <x:v>55.5</x:v>
      </x:c>
      <x:c r="G533" s="45" t="n">
        <x:v>39.25</x:v>
      </x:c>
      <x:c r="H533" s="45" t="n">
        <x:v>71.75</x:v>
      </x:c>
      <x:c r="I533" s="45" t="n">
        <x:v>55.5</x:v>
      </x:c>
      <x:c r="J533" s="45" t="n">
        <x:v>23</x:v>
      </x:c>
      <x:c r="K533" s="45" t="n">
        <x:v>88</x:v>
      </x:c>
      <x:c r="L533" s="51" t="str">
        <x:v>Другие уточненные травмы области тазобедренного сустава и бедра</x:v>
      </x:c>
      <x:c r="M533" s="45" t="n">
        <x:v>32.5</x:v>
      </x:c>
      <x:c r="N533" s="33" t="str">
        <x:v>True</x:v>
      </x:c>
      <x:c r="O533" s="45" t="n">
        <x:v>19</x:v>
      </x:c>
    </x:row>
    <x:row r="534">
      <x:c r="A534" s="33" t="str">
        <x:v>XIX</x:v>
      </x:c>
      <x:c r="B534" s="33" t="str">
        <x:v>S80-S89</x:v>
      </x:c>
      <x:c r="C534" s="51" t="str">
        <x:v>Травмы колена и голени</x:v>
      </x:c>
      <x:c r="D534" s="33" t="str">
        <x:v>S81</x:v>
      </x:c>
      <x:c r="E534" s="39" t="n">
        <x:v>2</x:v>
      </x:c>
      <x:c r="F534" s="45" t="n">
        <x:v>48</x:v>
      </x:c>
      <x:c r="G534" s="45" t="n">
        <x:v>40.5</x:v>
      </x:c>
      <x:c r="H534" s="45" t="n">
        <x:v>55.5</x:v>
      </x:c>
      <x:c r="I534" s="45" t="n">
        <x:v>48</x:v>
      </x:c>
      <x:c r="J534" s="45" t="n">
        <x:v>33</x:v>
      </x:c>
      <x:c r="K534" s="45" t="n">
        <x:v>63</x:v>
      </x:c>
      <x:c r="L534" s="51" t="str">
        <x:v>Открытая рана голени</x:v>
      </x:c>
      <x:c r="M534" s="45" t="n">
        <x:v>15</x:v>
      </x:c>
      <x:c r="N534" s="33" t="str">
        <x:v>True</x:v>
      </x:c>
      <x:c r="O534" s="45" t="n">
        <x:v>19</x:v>
      </x:c>
    </x:row>
    <x:row r="535">
      <x:c r="A535" s="33" t="str">
        <x:v>XIX</x:v>
      </x:c>
      <x:c r="B535" s="33" t="str">
        <x:v>S80-S89</x:v>
      </x:c>
      <x:c r="C535" s="51" t="str">
        <x:v>Травмы колена и голени</x:v>
      </x:c>
      <x:c r="D535" s="33" t="str">
        <x:v>S82</x:v>
      </x:c>
      <x:c r="E535" s="39" t="n">
        <x:v>12</x:v>
      </x:c>
      <x:c r="F535" s="45" t="n">
        <x:v>53.5</x:v>
      </x:c>
      <x:c r="G535" s="45" t="n">
        <x:v>45.5</x:v>
      </x:c>
      <x:c r="H535" s="45" t="n">
        <x:v>66.5</x:v>
      </x:c>
      <x:c r="I535" s="45" t="n">
        <x:v>57</x:v>
      </x:c>
      <x:c r="J535" s="45" t="n">
        <x:v>43</x:v>
      </x:c>
      <x:c r="K535" s="45" t="n">
        <x:v>86</x:v>
      </x:c>
      <x:c r="L535" s="51" t="str">
        <x:v>Множественные переломы голени</x:v>
      </x:c>
      <x:c r="M535" s="45" t="n">
        <x:v>21</x:v>
      </x:c>
      <x:c r="N535" s="33" t="str">
        <x:v>False</x:v>
      </x:c>
      <x:c r="O535" s="45" t="n">
        <x:v>19</x:v>
      </x:c>
    </x:row>
    <x:row r="536">
      <x:c r="A536" s="33" t="str">
        <x:v>XIX</x:v>
      </x:c>
      <x:c r="B536" s="33" t="str">
        <x:v>S80-S89</x:v>
      </x:c>
      <x:c r="C536" s="51" t="str">
        <x:v>Травмы колена и голени</x:v>
      </x:c>
      <x:c r="D536" s="33" t="str">
        <x:v>S85</x:v>
      </x:c>
      <x:c r="E536" s="39" t="n">
        <x:v>7</x:v>
      </x:c>
      <x:c r="F536" s="45" t="n">
        <x:v>49</x:v>
      </x:c>
      <x:c r="G536" s="45" t="n">
        <x:v>39.5</x:v>
      </x:c>
      <x:c r="H536" s="45" t="n">
        <x:v>52</x:v>
      </x:c>
      <x:c r="I536" s="45" t="n">
        <x:v>45.285714285714285</x:v>
      </x:c>
      <x:c r="J536" s="45" t="n">
        <x:v>33</x:v>
      </x:c>
      <x:c r="K536" s="45" t="n">
        <x:v>52</x:v>
      </x:c>
      <x:c r="L536" s="51" t="str">
        <x:v>Травма большой подкожной вены на уровне голени</x:v>
      </x:c>
      <x:c r="M536" s="45" t="n">
        <x:v>12.5</x:v>
      </x:c>
      <x:c r="N536" s="33" t="str">
        <x:v>False</x:v>
      </x:c>
      <x:c r="O536" s="45" t="n">
        <x:v>19</x:v>
      </x:c>
    </x:row>
    <x:row r="537">
      <x:c r="A537" s="33" t="str">
        <x:v>XIX</x:v>
      </x:c>
      <x:c r="B537" s="33" t="str">
        <x:v>S80-S89</x:v>
      </x:c>
      <x:c r="C537" s="51" t="str">
        <x:v>Травмы колена и голени</x:v>
      </x:c>
      <x:c r="D537" s="33" t="str">
        <x:v>S86</x:v>
      </x:c>
      <x:c r="E537" s="39" t="n">
        <x:v>1</x:v>
      </x:c>
      <x:c r="F537" s="45" t="n">
        <x:v>28</x:v>
      </x:c>
      <x:c r="G537" s="45" t="n">
        <x:v>28</x:v>
      </x:c>
      <x:c r="H537" s="45" t="n">
        <x:v>28</x:v>
      </x:c>
      <x:c r="I537" s="45" t="n">
        <x:v>28</x:v>
      </x:c>
      <x:c r="J537" s="45" t="n">
        <x:v>28</x:v>
      </x:c>
      <x:c r="K537" s="45" t="n">
        <x:v>28</x:v>
      </x:c>
      <x:c r="L537" s="51" t="str">
        <x:v>Травма нескольких мышц и сухожилий на уровне голени</x:v>
      </x:c>
      <x:c r="M537" s="45" t="n">
        <x:v>0</x:v>
      </x:c>
      <x:c r="N537" s="33" t="str">
        <x:v>True</x:v>
      </x:c>
      <x:c r="O537" s="45" t="n">
        <x:v>19</x:v>
      </x:c>
    </x:row>
    <x:row r="538">
      <x:c r="A538" s="33" t="str">
        <x:v>XIX</x:v>
      </x:c>
      <x:c r="B538" s="33" t="str">
        <x:v>S80-S89</x:v>
      </x:c>
      <x:c r="C538" s="51" t="str">
        <x:v>Травмы колена и голени</x:v>
      </x:c>
      <x:c r="D538" s="33" t="str">
        <x:v>S87</x:v>
      </x:c>
      <x:c r="E538" s="39" t="n">
        <x:v>1</x:v>
      </x:c>
      <x:c r="F538" s="45" t="n">
        <x:v>36</x:v>
      </x:c>
      <x:c r="G538" s="45" t="n">
        <x:v>36</x:v>
      </x:c>
      <x:c r="H538" s="45" t="n">
        <x:v>36</x:v>
      </x:c>
      <x:c r="I538" s="45" t="n">
        <x:v>36</x:v>
      </x:c>
      <x:c r="J538" s="45" t="n">
        <x:v>36</x:v>
      </x:c>
      <x:c r="K538" s="45" t="n">
        <x:v>36</x:v>
      </x:c>
      <x:c r="L538" s="51" t="str">
        <x:v>Размозжение другой и неуточненной части голени</x:v>
      </x:c>
      <x:c r="M538" s="45" t="n">
        <x:v>0</x:v>
      </x:c>
      <x:c r="N538" s="33" t="str">
        <x:v>True</x:v>
      </x:c>
      <x:c r="O538" s="45" t="n">
        <x:v>19</x:v>
      </x:c>
    </x:row>
    <x:row r="539">
      <x:c r="A539" s="33" t="str">
        <x:v>XIX</x:v>
      </x:c>
      <x:c r="B539" s="33" t="str">
        <x:v>S90-S99</x:v>
      </x:c>
      <x:c r="C539" s="51" t="str">
        <x:v>Травмы области голеностопного сустава и стопы</x:v>
      </x:c>
      <x:c r="D539" s="33" t="str">
        <x:v>S92</x:v>
      </x:c>
      <x:c r="E539" s="39" t="n">
        <x:v>1</x:v>
      </x:c>
      <x:c r="F539" s="45" t="n">
        <x:v>53</x:v>
      </x:c>
      <x:c r="G539" s="45" t="n">
        <x:v>53</x:v>
      </x:c>
      <x:c r="H539" s="45" t="n">
        <x:v>53</x:v>
      </x:c>
      <x:c r="I539" s="45" t="n">
        <x:v>53</x:v>
      </x:c>
      <x:c r="J539" s="45" t="n">
        <x:v>53</x:v>
      </x:c>
      <x:c r="K539" s="45" t="n">
        <x:v>53</x:v>
      </x:c>
      <x:c r="L539" s="51" t="str">
        <x:v>Перелом пяточной кости</x:v>
      </x:c>
      <x:c r="M539" s="45" t="n">
        <x:v>0</x:v>
      </x:c>
      <x:c r="N539" s="33" t="str">
        <x:v>True</x:v>
      </x:c>
      <x:c r="O539" s="45" t="n">
        <x:v>19</x:v>
      </x:c>
    </x:row>
    <x:row r="540">
      <x:c r="A540" s="33" t="str">
        <x:v>XIX</x:v>
      </x:c>
      <x:c r="B540" s="33" t="str">
        <x:v>S90-S99</x:v>
      </x:c>
      <x:c r="C540" s="51" t="str">
        <x:v>Травмы области голеностопного сустава и стопы</x:v>
      </x:c>
      <x:c r="D540" s="33" t="str">
        <x:v>S95</x:v>
      </x:c>
      <x:c r="E540" s="39" t="n">
        <x:v>2</x:v>
      </x:c>
      <x:c r="F540" s="45" t="n">
        <x:v>44</x:v>
      </x:c>
      <x:c r="G540" s="45" t="n">
        <x:v>44</x:v>
      </x:c>
      <x:c r="H540" s="45" t="n">
        <x:v>44</x:v>
      </x:c>
      <x:c r="I540" s="45" t="n">
        <x:v>44</x:v>
      </x:c>
      <x:c r="J540" s="45" t="n">
        <x:v>44</x:v>
      </x:c>
      <x:c r="K540" s="45" t="n">
        <x:v>44</x:v>
      </x:c>
      <x:c r="L540" s="51" t="str">
        <x:v>Травма дорсальной артерии стопы</x:v>
      </x:c>
      <x:c r="M540" s="45" t="n">
        <x:v>0</x:v>
      </x:c>
      <x:c r="N540" s="33" t="str">
        <x:v>True</x:v>
      </x:c>
      <x:c r="O540" s="45" t="n">
        <x:v>19</x:v>
      </x:c>
    </x:row>
    <x:row r="541">
      <x:c r="A541" s="33" t="str">
        <x:v>XIX</x:v>
      </x:c>
      <x:c r="B541" s="33" t="str">
        <x:v>S90-S99</x:v>
      </x:c>
      <x:c r="C541" s="51" t="str">
        <x:v>Травмы области голеностопного сустава и стопы</x:v>
      </x:c>
      <x:c r="D541" s="33" t="str">
        <x:v>S99</x:v>
      </x:c>
      <x:c r="E541" s="39" t="n">
        <x:v>2</x:v>
      </x:c>
      <x:c r="F541" s="45" t="n">
        <x:v>26</x:v>
      </x:c>
      <x:c r="G541" s="45" t="n">
        <x:v>22</x:v>
      </x:c>
      <x:c r="H541" s="45" t="n">
        <x:v>30</x:v>
      </x:c>
      <x:c r="I541" s="45" t="n">
        <x:v>26</x:v>
      </x:c>
      <x:c r="J541" s="45" t="n">
        <x:v>18</x:v>
      </x:c>
      <x:c r="K541" s="45" t="n">
        <x:v>34</x:v>
      </x:c>
      <x:c r="L541" s="51" t="str">
        <x:v>Другие уточненные травмы голеностопного сустава и стопы</x:v>
      </x:c>
      <x:c r="M541" s="45" t="n">
        <x:v>8</x:v>
      </x:c>
      <x:c r="N541" s="33" t="str">
        <x:v>True</x:v>
      </x:c>
      <x:c r="O541" s="45" t="n">
        <x:v>19</x:v>
      </x:c>
    </x:row>
    <x:row r="542">
      <x:c r="A542" s="33" t="str">
        <x:v>XIX</x:v>
      </x:c>
      <x:c r="B542" s="33" t="str">
        <x:v>T00-T07</x:v>
      </x:c>
      <x:c r="C542" s="51" t="str">
        <x:v>Травмы, захватывающие несколько областей тела</x:v>
      </x:c>
      <x:c r="D542" s="33" t="str">
        <x:v>T00</x:v>
      </x:c>
      <x:c r="E542" s="39" t="n">
        <x:v>1</x:v>
      </x:c>
      <x:c r="F542" s="45" t="n">
        <x:v>38</x:v>
      </x:c>
      <x:c r="G542" s="45" t="n">
        <x:v>38</x:v>
      </x:c>
      <x:c r="H542" s="45" t="n">
        <x:v>38</x:v>
      </x:c>
      <x:c r="I542" s="45" t="n">
        <x:v>38</x:v>
      </x:c>
      <x:c r="J542" s="45" t="n">
        <x:v>38</x:v>
      </x:c>
      <x:c r="K542" s="45" t="n">
        <x:v>38</x:v>
      </x:c>
      <x:c r="L542" s="51" t="str">
        <x:v>Поверхностные травмы нескольких областей</x:v>
      </x:c>
      <x:c r="M542" s="45" t="n">
        <x:v>0</x:v>
      </x:c>
      <x:c r="N542" s="33" t="str">
        <x:v>True</x:v>
      </x:c>
      <x:c r="O542" s="45" t="n">
        <x:v>19</x:v>
      </x:c>
    </x:row>
    <x:row r="543">
      <x:c r="A543" s="33" t="str">
        <x:v>XIX</x:v>
      </x:c>
      <x:c r="B543" s="33" t="str">
        <x:v>T00-T07</x:v>
      </x:c>
      <x:c r="C543" s="51" t="str">
        <x:v>Травмы, захватывающие несколько областей тела</x:v>
      </x:c>
      <x:c r="D543" s="33" t="str">
        <x:v>T01</x:v>
      </x:c>
      <x:c r="E543" s="39" t="n">
        <x:v>26</x:v>
      </x:c>
      <x:c r="F543" s="45" t="n">
        <x:v>41.5</x:v>
      </x:c>
      <x:c r="G543" s="45" t="n">
        <x:v>34.25</x:v>
      </x:c>
      <x:c r="H543" s="45" t="n">
        <x:v>46.25</x:v>
      </x:c>
      <x:c r="I543" s="45" t="n">
        <x:v>41.84615384615385</x:v>
      </x:c>
      <x:c r="J543" s="45" t="n">
        <x:v>23</x:v>
      </x:c>
      <x:c r="K543" s="45" t="n">
        <x:v>73</x:v>
      </x:c>
      <x:c r="L543" s="51" t="str">
        <x:v>Другие сочетания открытых ран, захватывающих несколько областей тела</x:v>
      </x:c>
      <x:c r="M543" s="45" t="n">
        <x:v>12</x:v>
      </x:c>
      <x:c r="N543" s="33" t="str">
        <x:v>False</x:v>
      </x:c>
      <x:c r="O543" s="45" t="n">
        <x:v>19</x:v>
      </x:c>
    </x:row>
    <x:row r="544">
      <x:c r="A544" s="33" t="str">
        <x:v>XIX</x:v>
      </x:c>
      <x:c r="B544" s="33" t="str">
        <x:v>T00-T07</x:v>
      </x:c>
      <x:c r="C544" s="51" t="str">
        <x:v>Травмы, захватывающие несколько областей тела</x:v>
      </x:c>
      <x:c r="D544" s="33" t="str">
        <x:v>T02</x:v>
      </x:c>
      <x:c r="E544" s="39" t="n">
        <x:v>48</x:v>
      </x:c>
      <x:c r="F544" s="45" t="n">
        <x:v>44</x:v>
      </x:c>
      <x:c r="G544" s="45" t="n">
        <x:v>35.75</x:v>
      </x:c>
      <x:c r="H544" s="45" t="n">
        <x:v>57.25</x:v>
      </x:c>
      <x:c r="I544" s="45" t="n">
        <x:v>48.125</x:v>
      </x:c>
      <x:c r="J544" s="45" t="n">
        <x:v>20</x:v>
      </x:c>
      <x:c r="K544" s="45" t="n">
        <x:v>91</x:v>
      </x:c>
      <x:c r="L544" s="51" t="str">
        <x:v>Другие сочетания переломов, захватывающих несколько областей тела</x:v>
      </x:c>
      <x:c r="M544" s="45" t="n">
        <x:v>21.5</x:v>
      </x:c>
      <x:c r="N544" s="33" t="str">
        <x:v>False</x:v>
      </x:c>
      <x:c r="O544" s="45" t="n">
        <x:v>19</x:v>
      </x:c>
    </x:row>
    <x:row r="545">
      <x:c r="A545" s="33" t="str">
        <x:v>XIX</x:v>
      </x:c>
      <x:c r="B545" s="33" t="str">
        <x:v>T00-T07</x:v>
      </x:c>
      <x:c r="C545" s="51" t="str">
        <x:v>Травмы, захватывающие несколько областей тела</x:v>
      </x:c>
      <x:c r="D545" s="33" t="str">
        <x:v>T04</x:v>
      </x:c>
      <x:c r="E545" s="39" t="n">
        <x:v>237</x:v>
      </x:c>
      <x:c r="F545" s="45" t="n">
        <x:v>37</x:v>
      </x:c>
      <x:c r="G545" s="45" t="n">
        <x:v>28</x:v>
      </x:c>
      <x:c r="H545" s="45" t="n">
        <x:v>46</x:v>
      </x:c>
      <x:c r="I545" s="45" t="n">
        <x:v>37.41772151898734</x:v>
      </x:c>
      <x:c r="J545" s="45" t="n">
        <x:v>18</x:v>
      </x:c>
      <x:c r="K545" s="45" t="n">
        <x:v>62</x:v>
      </x:c>
      <x:c r="L545" s="51" t="str">
        <x:v>Другие сочетания размозжений нескольких областей тела</x:v>
      </x:c>
      <x:c r="M545" s="45" t="n">
        <x:v>18</x:v>
      </x:c>
      <x:c r="N545" s="33" t="str">
        <x:v>False</x:v>
      </x:c>
      <x:c r="O545" s="45" t="n">
        <x:v>19</x:v>
      </x:c>
    </x:row>
    <x:row r="546">
      <x:c r="A546" s="33" t="str">
        <x:v>XIX</x:v>
      </x:c>
      <x:c r="B546" s="33" t="str">
        <x:v>T00-T07</x:v>
      </x:c>
      <x:c r="C546" s="51" t="str">
        <x:v>Травмы, захватывающие несколько областей тела</x:v>
      </x:c>
      <x:c r="D546" s="33" t="str">
        <x:v>T05</x:v>
      </x:c>
      <x:c r="E546" s="39" t="n">
        <x:v>3</x:v>
      </x:c>
      <x:c r="F546" s="45" t="n">
        <x:v>59</x:v>
      </x:c>
      <x:c r="G546" s="45" t="n">
        <x:v>46</x:v>
      </x:c>
      <x:c r="H546" s="45" t="n">
        <x:v>63.5</x:v>
      </x:c>
      <x:c r="I546" s="45" t="n">
        <x:v>53.333333333333336</x:v>
      </x:c>
      <x:c r="J546" s="45" t="n">
        <x:v>33</x:v>
      </x:c>
      <x:c r="K546" s="45" t="n">
        <x:v>68</x:v>
      </x:c>
      <x:c r="L546" s="51" t="str">
        <x:v>Травматические ампутации, захватывающие другие области тела в разных комбинациях</x:v>
      </x:c>
      <x:c r="M546" s="45" t="n">
        <x:v>17.5</x:v>
      </x:c>
      <x:c r="N546" s="33" t="str">
        <x:v>True</x:v>
      </x:c>
      <x:c r="O546" s="45" t="n">
        <x:v>19</x:v>
      </x:c>
    </x:row>
    <x:row r="547">
      <x:c r="A547" s="33" t="str">
        <x:v>XIX</x:v>
      </x:c>
      <x:c r="B547" s="33" t="str">
        <x:v>T00-T07</x:v>
      </x:c>
      <x:c r="C547" s="51" t="str">
        <x:v>Травмы, захватывающие несколько областей тела</x:v>
      </x:c>
      <x:c r="D547" s="33" t="str">
        <x:v>T06</x:v>
      </x:c>
      <x:c r="E547" s="39" t="n">
        <x:v>1848</x:v>
      </x:c>
      <x:c r="F547" s="45" t="n">
        <x:v>39</x:v>
      </x:c>
      <x:c r="G547" s="45" t="n">
        <x:v>30</x:v>
      </x:c>
      <x:c r="H547" s="45" t="n">
        <x:v>48</x:v>
      </x:c>
      <x:c r="I547" s="45" t="n">
        <x:v>39.691017316017316</x:v>
      </x:c>
      <x:c r="J547" s="45" t="n">
        <x:v>0</x:v>
      </x:c>
      <x:c r="K547" s="45" t="n">
        <x:v>91</x:v>
      </x:c>
      <x:c r="L547" s="51" t="str">
        <x:v>Другие уточненные травмы с вовлечением нескольких областей тела</x:v>
      </x:c>
      <x:c r="M547" s="45" t="n">
        <x:v>18</x:v>
      </x:c>
      <x:c r="N547" s="33" t="str">
        <x:v>False</x:v>
      </x:c>
      <x:c r="O547" s="45" t="n">
        <x:v>19</x:v>
      </x:c>
    </x:row>
    <x:row r="548">
      <x:c r="A548" s="33" t="str">
        <x:v>XIX</x:v>
      </x:c>
      <x:c r="B548" s="33" t="str">
        <x:v>T00-T07</x:v>
      </x:c>
      <x:c r="C548" s="51" t="str">
        <x:v>Травмы, захватывающие несколько областей тела</x:v>
      </x:c>
      <x:c r="D548" s="33" t="str">
        <x:v>T07</x:v>
      </x:c>
      <x:c r="E548" s="39" t="n">
        <x:v>67</x:v>
      </x:c>
      <x:c r="F548" s="45" t="n">
        <x:v>39</x:v>
      </x:c>
      <x:c r="G548" s="45" t="n">
        <x:v>27</x:v>
      </x:c>
      <x:c r="H548" s="45" t="n">
        <x:v>51.5</x:v>
      </x:c>
      <x:c r="I548" s="45" t="n">
        <x:v>40.343283582089555</x:v>
      </x:c>
      <x:c r="J548" s="45" t="n">
        <x:v>4</x:v>
      </x:c>
      <x:c r="K548" s="45" t="n">
        <x:v>85</x:v>
      </x:c>
      <x:c r="L548" s="51" t="str">
        <x:v>Множественные травмы неуточненные</x:v>
      </x:c>
      <x:c r="M548" s="45" t="n">
        <x:v>24.5</x:v>
      </x:c>
      <x:c r="N548" s="33" t="str">
        <x:v>False</x:v>
      </x:c>
      <x:c r="O548" s="45" t="n">
        <x:v>19</x:v>
      </x:c>
    </x:row>
    <x:row r="549">
      <x:c r="A549" s="33" t="str">
        <x:v>XIX</x:v>
      </x:c>
      <x:c r="B549" s="33" t="str">
        <x:v>T08-T14</x:v>
      </x:c>
      <x:c r="C549" s="51" t="str">
        <x:v>Травмы неуточненной части туловища, конечности или области тела</x:v>
      </x:c>
      <x:c r="D549" s="33" t="str">
        <x:v>T09</x:v>
      </x:c>
      <x:c r="E549" s="39" t="n">
        <x:v>1</x:v>
      </x:c>
      <x:c r="F549" s="45" t="n">
        <x:v>44</x:v>
      </x:c>
      <x:c r="G549" s="45" t="n">
        <x:v>44</x:v>
      </x:c>
      <x:c r="H549" s="45" t="n">
        <x:v>44</x:v>
      </x:c>
      <x:c r="I549" s="45" t="n">
        <x:v>44</x:v>
      </x:c>
      <x:c r="J549" s="45" t="n">
        <x:v>44</x:v>
      </x:c>
      <x:c r="K549" s="45" t="n">
        <x:v>44</x:v>
      </x:c>
      <x:c r="L549" s="51" t="str">
        <x:v>Травма спинного мозга на неуточненном уровне</x:v>
      </x:c>
      <x:c r="M549" s="45" t="n">
        <x:v>0</x:v>
      </x:c>
      <x:c r="N549" s="33" t="str">
        <x:v>True</x:v>
      </x:c>
      <x:c r="O549" s="45" t="n">
        <x:v>19</x:v>
      </x:c>
    </x:row>
    <x:row r="550">
      <x:c r="A550" s="33" t="str">
        <x:v>XIX</x:v>
      </x:c>
      <x:c r="B550" s="33" t="str">
        <x:v>T08-T14</x:v>
      </x:c>
      <x:c r="C550" s="51" t="str">
        <x:v>Травмы неуточненной части туловища, конечности или области тела</x:v>
      </x:c>
      <x:c r="D550" s="33" t="str">
        <x:v>T11</x:v>
      </x:c>
      <x:c r="E550" s="39" t="n">
        <x:v>1</x:v>
      </x:c>
      <x:c r="F550" s="45" t="n">
        <x:v>32</x:v>
      </x:c>
      <x:c r="G550" s="45" t="n">
        <x:v>32</x:v>
      </x:c>
      <x:c r="H550" s="45" t="n">
        <x:v>32</x:v>
      </x:c>
      <x:c r="I550" s="45" t="n">
        <x:v>32</x:v>
      </x:c>
      <x:c r="J550" s="45" t="n">
        <x:v>32</x:v>
      </x:c>
      <x:c r="K550" s="45" t="n">
        <x:v>32</x:v>
      </x:c>
      <x:c r="L550" s="51" t="str">
        <x:v>Неуточненная травма верхней конечности на неуточненном уровне</x:v>
      </x:c>
      <x:c r="M550" s="45" t="n">
        <x:v>0</x:v>
      </x:c>
      <x:c r="N550" s="33" t="str">
        <x:v>True</x:v>
      </x:c>
      <x:c r="O550" s="45" t="n">
        <x:v>19</x:v>
      </x:c>
    </x:row>
    <x:row r="551">
      <x:c r="A551" s="33" t="str">
        <x:v>XIX</x:v>
      </x:c>
      <x:c r="B551" s="33" t="str">
        <x:v>T08-T14</x:v>
      </x:c>
      <x:c r="C551" s="51" t="str">
        <x:v>Травмы неуточненной части туловища, конечности или области тела</x:v>
      </x:c>
      <x:c r="D551" s="33" t="str">
        <x:v>T13</x:v>
      </x:c>
      <x:c r="E551" s="39" t="n">
        <x:v>29</x:v>
      </x:c>
      <x:c r="F551" s="45" t="n">
        <x:v>39</x:v>
      </x:c>
      <x:c r="G551" s="45" t="n">
        <x:v>28</x:v>
      </x:c>
      <x:c r="H551" s="45" t="n">
        <x:v>47</x:v>
      </x:c>
      <x:c r="I551" s="45" t="n">
        <x:v>38.172413793103445</x:v>
      </x:c>
      <x:c r="J551" s="45" t="n">
        <x:v>19</x:v>
      </x:c>
      <x:c r="K551" s="45" t="n">
        <x:v>61</x:v>
      </x:c>
      <x:c r="L551" s="51" t="str">
        <x:v>Травма неуточненного кровеносного сосуда нижней конечности на неуточненном уровне</x:v>
      </x:c>
      <x:c r="M551" s="45" t="n">
        <x:v>19</x:v>
      </x:c>
      <x:c r="N551" s="33" t="str">
        <x:v>False</x:v>
      </x:c>
      <x:c r="O551" s="45" t="n">
        <x:v>19</x:v>
      </x:c>
    </x:row>
    <x:row r="552">
      <x:c r="A552" s="33" t="str">
        <x:v>XIX</x:v>
      </x:c>
      <x:c r="B552" s="33" t="str">
        <x:v>T15-T19</x:v>
      </x:c>
      <x:c r="C552" s="51" t="str">
        <x:v>Последствия проникновения инородного тела через естественные отверстия</x:v>
      </x:c>
      <x:c r="D552" s="33" t="str">
        <x:v>T17</x:v>
      </x:c>
      <x:c r="E552" s="39" t="n">
        <x:v>335</x:v>
      </x:c>
      <x:c r="F552" s="45" t="n">
        <x:v>60</x:v>
      </x:c>
      <x:c r="G552" s="45" t="n">
        <x:v>45</x:v>
      </x:c>
      <x:c r="H552" s="45" t="n">
        <x:v>69</x:v>
      </x:c>
      <x:c r="I552" s="45" t="n">
        <x:v>57.364179104477614</x:v>
      </x:c>
      <x:c r="J552" s="45" t="n">
        <x:v>0</x:v>
      </x:c>
      <x:c r="K552" s="45" t="n">
        <x:v>92</x:v>
      </x:c>
      <x:c r="L552" s="51" t="str">
        <x:v>Инородное тело в другом или нескольких отделах дыхательных путей</x:v>
      </x:c>
      <x:c r="M552" s="45" t="n">
        <x:v>24</x:v>
      </x:c>
      <x:c r="N552" s="33" t="str">
        <x:v>False</x:v>
      </x:c>
      <x:c r="O552" s="45" t="n">
        <x:v>19</x:v>
      </x:c>
    </x:row>
    <x:row r="553">
      <x:c r="A553" s="33" t="str">
        <x:v>XIX</x:v>
      </x:c>
      <x:c r="B553" s="33" t="str">
        <x:v>T15-T19</x:v>
      </x:c>
      <x:c r="C553" s="51" t="str">
        <x:v>Последствия проникновения инородного тела через естественные отверстия</x:v>
      </x:c>
      <x:c r="D553" s="33" t="str">
        <x:v>T18</x:v>
      </x:c>
      <x:c r="E553" s="39" t="n">
        <x:v>1</x:v>
      </x:c>
      <x:c r="F553" s="45" t="n">
        <x:v>56</x:v>
      </x:c>
      <x:c r="G553" s="45" t="n">
        <x:v>56</x:v>
      </x:c>
      <x:c r="H553" s="45" t="n">
        <x:v>56</x:v>
      </x:c>
      <x:c r="I553" s="45" t="n">
        <x:v>56</x:v>
      </x:c>
      <x:c r="J553" s="45" t="n">
        <x:v>56</x:v>
      </x:c>
      <x:c r="K553" s="45" t="n">
        <x:v>56</x:v>
      </x:c>
      <x:c r="L553" s="51" t="str">
        <x:v>Инородное тело в других отделах пищеварительного тракта</x:v>
      </x:c>
      <x:c r="M553" s="45" t="n">
        <x:v>0</x:v>
      </x:c>
      <x:c r="N553" s="33" t="str">
        <x:v>True</x:v>
      </x:c>
      <x:c r="O553" s="45" t="n">
        <x:v>19</x:v>
      </x:c>
    </x:row>
    <x:row r="554">
      <x:c r="A554" s="33" t="str">
        <x:v>XIX</x:v>
      </x:c>
      <x:c r="B554" s="33" t="str">
        <x:v>T20-T32</x:v>
      </x:c>
      <x:c r="C554" s="51" t="str">
        <x:v>Термические и химические ожоги</x:v>
      </x:c>
      <x:c r="D554" s="33" t="str">
        <x:v>T20</x:v>
      </x:c>
      <x:c r="E554" s="39" t="n">
        <x:v>3</x:v>
      </x:c>
      <x:c r="F554" s="45" t="n">
        <x:v>51</x:v>
      </x:c>
      <x:c r="G554" s="45" t="n">
        <x:v>49</x:v>
      </x:c>
      <x:c r="H554" s="45" t="n">
        <x:v>57.5</x:v>
      </x:c>
      <x:c r="I554" s="45" t="n">
        <x:v>54</x:v>
      </x:c>
      <x:c r="J554" s="45" t="n">
        <x:v>47</x:v>
      </x:c>
      <x:c r="K554" s="45" t="n">
        <x:v>64</x:v>
      </x:c>
      <x:c r="L554" s="51" t="str">
        <x:v>Термический ожог головы и шеи второй степени</x:v>
      </x:c>
      <x:c r="M554" s="45" t="n">
        <x:v>8.5</x:v>
      </x:c>
      <x:c r="N554" s="33" t="str">
        <x:v>True</x:v>
      </x:c>
      <x:c r="O554" s="45" t="n">
        <x:v>19</x:v>
      </x:c>
    </x:row>
    <x:row r="555">
      <x:c r="A555" s="33" t="str">
        <x:v>XIX</x:v>
      </x:c>
      <x:c r="B555" s="33" t="str">
        <x:v>T20-T32</x:v>
      </x:c>
      <x:c r="C555" s="51" t="str">
        <x:v>Термические и химические ожоги</x:v>
      </x:c>
      <x:c r="D555" s="33" t="str">
        <x:v>T21</x:v>
      </x:c>
      <x:c r="E555" s="39" t="n">
        <x:v>9</x:v>
      </x:c>
      <x:c r="F555" s="45" t="n">
        <x:v>65</x:v>
      </x:c>
      <x:c r="G555" s="45" t="n">
        <x:v>56</x:v>
      </x:c>
      <x:c r="H555" s="45" t="n">
        <x:v>70</x:v>
      </x:c>
      <x:c r="I555" s="45" t="n">
        <x:v>62.22222222222222</x:v>
      </x:c>
      <x:c r="J555" s="45" t="n">
        <x:v>34</x:v>
      </x:c>
      <x:c r="K555" s="45" t="n">
        <x:v>79</x:v>
      </x:c>
      <x:c r="L555" s="51" t="str">
        <x:v>Термический ожог туловища второй степени</x:v>
      </x:c>
      <x:c r="M555" s="45" t="n">
        <x:v>14</x:v>
      </x:c>
      <x:c r="N555" s="33" t="str">
        <x:v>False</x:v>
      </x:c>
      <x:c r="O555" s="45" t="n">
        <x:v>19</x:v>
      </x:c>
    </x:row>
    <x:row r="556">
      <x:c r="A556" s="33" t="str">
        <x:v>XIX</x:v>
      </x:c>
      <x:c r="B556" s="33" t="str">
        <x:v>T20-T32</x:v>
      </x:c>
      <x:c r="C556" s="51" t="str">
        <x:v>Термические и химические ожоги</x:v>
      </x:c>
      <x:c r="D556" s="33" t="str">
        <x:v>T25</x:v>
      </x:c>
      <x:c r="E556" s="39" t="n">
        <x:v>1</x:v>
      </x:c>
      <x:c r="F556" s="45" t="n">
        <x:v>67</x:v>
      </x:c>
      <x:c r="G556" s="45" t="n">
        <x:v>67</x:v>
      </x:c>
      <x:c r="H556" s="45" t="n">
        <x:v>67</x:v>
      </x:c>
      <x:c r="I556" s="45" t="n">
        <x:v>67</x:v>
      </x:c>
      <x:c r="J556" s="45" t="n">
        <x:v>67</x:v>
      </x:c>
      <x:c r="K556" s="45" t="n">
        <x:v>67</x:v>
      </x:c>
      <x:c r="L556" s="51" t="str">
        <x:v>Термический ожог третьей степени голеностопного сустава и стопы</x:v>
      </x:c>
      <x:c r="M556" s="45" t="n">
        <x:v>0</x:v>
      </x:c>
      <x:c r="N556" s="33" t="str">
        <x:v>True</x:v>
      </x:c>
      <x:c r="O556" s="45" t="n">
        <x:v>19</x:v>
      </x:c>
    </x:row>
    <x:row r="557">
      <x:c r="A557" s="33" t="str">
        <x:v>XIX</x:v>
      </x:c>
      <x:c r="B557" s="33" t="str">
        <x:v>T20-T32</x:v>
      </x:c>
      <x:c r="C557" s="51" t="str">
        <x:v>Термические и химические ожоги</x:v>
      </x:c>
      <x:c r="D557" s="33" t="str">
        <x:v>T27</x:v>
      </x:c>
      <x:c r="E557" s="39" t="n">
        <x:v>6</x:v>
      </x:c>
      <x:c r="F557" s="45" t="n">
        <x:v>68</x:v>
      </x:c>
      <x:c r="G557" s="45" t="n">
        <x:v>64</x:v>
      </x:c>
      <x:c r="H557" s="45" t="n">
        <x:v>69.75</x:v>
      </x:c>
      <x:c r="I557" s="45" t="n">
        <x:v>68.33333333333333</x:v>
      </x:c>
      <x:c r="J557" s="45" t="n">
        <x:v>63</x:v>
      </x:c>
      <x:c r="K557" s="45" t="n">
        <x:v>78</x:v>
      </x:c>
      <x:c r="L557" s="51" t="str">
        <x:v>Термический ожог гортани, трахеи и легкого</x:v>
      </x:c>
      <x:c r="M557" s="45" t="n">
        <x:v>5.75</x:v>
      </x:c>
      <x:c r="N557" s="33" t="str">
        <x:v>False</x:v>
      </x:c>
      <x:c r="O557" s="45" t="n">
        <x:v>19</x:v>
      </x:c>
    </x:row>
    <x:row r="558">
      <x:c r="A558" s="33" t="str">
        <x:v>XIX</x:v>
      </x:c>
      <x:c r="B558" s="33" t="str">
        <x:v>T20-T32</x:v>
      </x:c>
      <x:c r="C558" s="51" t="str">
        <x:v>Термические и химические ожоги</x:v>
      </x:c>
      <x:c r="D558" s="33" t="str">
        <x:v>T29</x:v>
      </x:c>
      <x:c r="E558" s="39" t="n">
        <x:v>71</x:v>
      </x:c>
      <x:c r="F558" s="45" t="n">
        <x:v>52</x:v>
      </x:c>
      <x:c r="G558" s="45" t="n">
        <x:v>39.5</x:v>
      </x:c>
      <x:c r="H558" s="45" t="n">
        <x:v>64.5</x:v>
      </x:c>
      <x:c r="I558" s="45" t="n">
        <x:v>51.71830985915493</x:v>
      </x:c>
      <x:c r="J558" s="45" t="n">
        <x:v>15</x:v>
      </x:c>
      <x:c r="K558" s="45" t="n">
        <x:v>90</x:v>
      </x:c>
      <x:c r="L558" s="51" t="str">
        <x:v>Термические ожоги нескольких областей тела с указанием хотя бы на один ожог третьей степени</x:v>
      </x:c>
      <x:c r="M558" s="45" t="n">
        <x:v>25</x:v>
      </x:c>
      <x:c r="N558" s="33" t="str">
        <x:v>False</x:v>
      </x:c>
      <x:c r="O558" s="45" t="n">
        <x:v>19</x:v>
      </x:c>
    </x:row>
    <x:row r="559">
      <x:c r="A559" s="33" t="str">
        <x:v>XIX</x:v>
      </x:c>
      <x:c r="B559" s="33" t="str">
        <x:v>T20-T32</x:v>
      </x:c>
      <x:c r="C559" s="51" t="str">
        <x:v>Термические и химические ожоги</x:v>
      </x:c>
      <x:c r="D559" s="33" t="str">
        <x:v>T31</x:v>
      </x:c>
      <x:c r="E559" s="39" t="n">
        <x:v>21</x:v>
      </x:c>
      <x:c r="F559" s="45" t="n">
        <x:v>40</x:v>
      </x:c>
      <x:c r="G559" s="45" t="n">
        <x:v>27</x:v>
      </x:c>
      <x:c r="H559" s="45" t="n">
        <x:v>54</x:v>
      </x:c>
      <x:c r="I559" s="45" t="n">
        <x:v>41.666666666666664</x:v>
      </x:c>
      <x:c r="J559" s="45" t="n">
        <x:v>15</x:v>
      </x:c>
      <x:c r="K559" s="45" t="n">
        <x:v>71</x:v>
      </x:c>
      <x:c r="L559" s="51" t="str">
        <x:v>Термический ожог 90% поверхности тела или более</x:v>
      </x:c>
      <x:c r="M559" s="45" t="n">
        <x:v>27</x:v>
      </x:c>
      <x:c r="N559" s="33" t="str">
        <x:v>False</x:v>
      </x:c>
      <x:c r="O559" s="45" t="n">
        <x:v>19</x:v>
      </x:c>
    </x:row>
    <x:row r="560">
      <x:c r="A560" s="33" t="str">
        <x:v>XIX</x:v>
      </x:c>
      <x:c r="B560" s="33" t="str">
        <x:v>T33-T35</x:v>
      </x:c>
      <x:c r="C560" s="51" t="str">
        <x:v>Отморожение</x:v>
      </x:c>
      <x:c r="D560" s="33" t="str">
        <x:v>T34</x:v>
      </x:c>
      <x:c r="E560" s="39" t="n">
        <x:v>14</x:v>
      </x:c>
      <x:c r="F560" s="45" t="n">
        <x:v>65.5</x:v>
      </x:c>
      <x:c r="G560" s="45" t="n">
        <x:v>49</x:v>
      </x:c>
      <x:c r="H560" s="45" t="n">
        <x:v>70.5</x:v>
      </x:c>
      <x:c r="I560" s="45" t="n">
        <x:v>60.142857142857146</x:v>
      </x:c>
      <x:c r="J560" s="45" t="n">
        <x:v>30</x:v>
      </x:c>
      <x:c r="K560" s="45" t="n">
        <x:v>76</x:v>
      </x:c>
      <x:c r="L560" s="51" t="str">
        <x:v>Отморожение с некрозом тканей в области голеностопного сустава и стопы</x:v>
      </x:c>
      <x:c r="M560" s="45" t="n">
        <x:v>21.5</x:v>
      </x:c>
      <x:c r="N560" s="33" t="str">
        <x:v>False</x:v>
      </x:c>
      <x:c r="O560" s="45" t="n">
        <x:v>19</x:v>
      </x:c>
    </x:row>
    <x:row r="561">
      <x:c r="A561" s="33" t="str">
        <x:v>XIX</x:v>
      </x:c>
      <x:c r="B561" s="33" t="str">
        <x:v>T33-T35</x:v>
      </x:c>
      <x:c r="C561" s="51" t="str">
        <x:v>Отморожение</x:v>
      </x:c>
      <x:c r="D561" s="33" t="str">
        <x:v>T35</x:v>
      </x:c>
      <x:c r="E561" s="39" t="n">
        <x:v>7</x:v>
      </x:c>
      <x:c r="F561" s="45" t="n">
        <x:v>58</x:v>
      </x:c>
      <x:c r="G561" s="45" t="n">
        <x:v>56</x:v>
      </x:c>
      <x:c r="H561" s="45" t="n">
        <x:v>68.5</x:v>
      </x:c>
      <x:c r="I561" s="45" t="n">
        <x:v>62.285714285714285</x:v>
      </x:c>
      <x:c r="J561" s="45" t="n">
        <x:v>54</x:v>
      </x:c>
      <x:c r="K561" s="45" t="n">
        <x:v>75</x:v>
      </x:c>
      <x:c r="L561" s="51" t="str">
        <x:v>Обморожения с некрозом тканей затрагивающие грудную клетку живот таз и конечности</x:v>
      </x:c>
      <x:c r="M561" s="45" t="n">
        <x:v>12.5</x:v>
      </x:c>
      <x:c r="N561" s="33" t="str">
        <x:v>False</x:v>
      </x:c>
      <x:c r="O561" s="45" t="n">
        <x:v>19</x:v>
      </x:c>
    </x:row>
    <x:row r="562">
      <x:c r="A562" s="33" t="str">
        <x:v>XIX</x:v>
      </x:c>
      <x:c r="B562" s="33" t="str">
        <x:v>T36-T50</x:v>
      </x:c>
      <x:c r="C562" s="51" t="str">
        <x:v>Отравления лекарственными средствами, медикаментами и биологическими веществами</x:v>
      </x:c>
      <x:c r="D562" s="33" t="str">
        <x:v>T36</x:v>
      </x:c>
      <x:c r="E562" s="39" t="n">
        <x:v>1</x:v>
      </x:c>
      <x:c r="F562" s="45" t="n">
        <x:v>42</x:v>
      </x:c>
      <x:c r="G562" s="45" t="n">
        <x:v>42</x:v>
      </x:c>
      <x:c r="H562" s="45" t="n">
        <x:v>42</x:v>
      </x:c>
      <x:c r="I562" s="45" t="n">
        <x:v>42</x:v>
      </x:c>
      <x:c r="J562" s="45" t="n">
        <x:v>42</x:v>
      </x:c>
      <x:c r="K562" s="45" t="n">
        <x:v>42</x:v>
      </x:c>
      <x:c r="L562" s="51" t="str">
        <x:v>Отравление ампициллином</x:v>
      </x:c>
      <x:c r="M562" s="45" t="n">
        <x:v>0</x:v>
      </x:c>
      <x:c r="N562" s="33" t="str">
        <x:v>True</x:v>
      </x:c>
      <x:c r="O562" s="45" t="n">
        <x:v>19</x:v>
      </x:c>
    </x:row>
    <x:row r="563">
      <x:c r="A563" s="33" t="str">
        <x:v>XIX</x:v>
      </x:c>
      <x:c r="B563" s="33" t="str">
        <x:v>T36-T50</x:v>
      </x:c>
      <x:c r="C563" s="51" t="str">
        <x:v>Отравления лекарственными средствами, медикаментами и биологическими веществами</x:v>
      </x:c>
      <x:c r="D563" s="33" t="str">
        <x:v>T37</x:v>
      </x:c>
      <x:c r="E563" s="39" t="n">
        <x:v>2</x:v>
      </x:c>
      <x:c r="F563" s="45" t="n">
        <x:v>41.5</x:v>
      </x:c>
      <x:c r="G563" s="45" t="n">
        <x:v>39.75</x:v>
      </x:c>
      <x:c r="H563" s="45" t="n">
        <x:v>43.25</x:v>
      </x:c>
      <x:c r="I563" s="45" t="n">
        <x:v>41.5</x:v>
      </x:c>
      <x:c r="J563" s="45" t="n">
        <x:v>38</x:v>
      </x:c>
      <x:c r="K563" s="45" t="n">
        <x:v>45</x:v>
      </x:c>
      <x:c r="L563" s="51" t="str">
        <x:v>Отравление другими противомикробными средствами</x:v>
      </x:c>
      <x:c r="M563" s="45" t="n">
        <x:v>3.5</x:v>
      </x:c>
      <x:c r="N563" s="33" t="str">
        <x:v>True</x:v>
      </x:c>
      <x:c r="O563" s="45" t="n">
        <x:v>19</x:v>
      </x:c>
    </x:row>
    <x:row r="564">
      <x:c r="A564" s="33" t="str">
        <x:v>XIX</x:v>
      </x:c>
      <x:c r="B564" s="33" t="str">
        <x:v>T36-T50</x:v>
      </x:c>
      <x:c r="C564" s="51" t="str">
        <x:v>Отравления лекарственными средствами, медикаментами и биологическими веществами</x:v>
      </x:c>
      <x:c r="D564" s="33" t="str">
        <x:v>T38</x:v>
      </x:c>
      <x:c r="E564" s="39" t="n">
        <x:v>1</x:v>
      </x:c>
      <x:c r="F564" s="45" t="n">
        <x:v>37</x:v>
      </x:c>
      <x:c r="G564" s="45" t="n">
        <x:v>37</x:v>
      </x:c>
      <x:c r="H564" s="45" t="n">
        <x:v>37</x:v>
      </x:c>
      <x:c r="I564" s="45" t="n">
        <x:v>37</x:v>
      </x:c>
      <x:c r="J564" s="45" t="n">
        <x:v>37</x:v>
      </x:c>
      <x:c r="K564" s="45" t="n">
        <x:v>37</x:v>
      </x:c>
      <x:c r="L564" s="51" t="str">
        <x:v>Отравление инсулином</x:v>
      </x:c>
      <x:c r="M564" s="45" t="n">
        <x:v>0</x:v>
      </x:c>
      <x:c r="N564" s="33" t="str">
        <x:v>True</x:v>
      </x:c>
      <x:c r="O564" s="45" t="n">
        <x:v>19</x:v>
      </x:c>
    </x:row>
    <x:row r="565">
      <x:c r="A565" s="33" t="str">
        <x:v>XIX</x:v>
      </x:c>
      <x:c r="B565" s="33" t="str">
        <x:v>T36-T50</x:v>
      </x:c>
      <x:c r="C565" s="51" t="str">
        <x:v>Отравления лекарственными средствами, медикаментами и биологическими веществами</x:v>
      </x:c>
      <x:c r="D565" s="33" t="str">
        <x:v>T39</x:v>
      </x:c>
      <x:c r="E565" s="39" t="n">
        <x:v>5</x:v>
      </x:c>
      <x:c r="F565" s="45" t="n">
        <x:v>56</x:v>
      </x:c>
      <x:c r="G565" s="45" t="n">
        <x:v>31</x:v>
      </x:c>
      <x:c r="H565" s="45" t="n">
        <x:v>60</x:v>
      </x:c>
      <x:c r="I565" s="45" t="n">
        <x:v>45</x:v>
      </x:c>
      <x:c r="J565" s="45" t="n">
        <x:v>3</x:v>
      </x:c>
      <x:c r="K565" s="45" t="n">
        <x:v>75</x:v>
      </x:c>
      <x:c r="L565" s="51" t="str">
        <x:v>Отравление другими нестероидными противовоспалительными средствами [NSAID]</x:v>
      </x:c>
      <x:c r="M565" s="45" t="n">
        <x:v>29</x:v>
      </x:c>
      <x:c r="N565" s="33" t="str">
        <x:v>False</x:v>
      </x:c>
      <x:c r="O565" s="45" t="n">
        <x:v>19</x:v>
      </x:c>
    </x:row>
    <x:row r="566">
      <x:c r="A566" s="33" t="str">
        <x:v>XIX</x:v>
      </x:c>
      <x:c r="B566" s="33" t="str">
        <x:v>T36-T50</x:v>
      </x:c>
      <x:c r="C566" s="51" t="str">
        <x:v>Отравления лекарственными средствами, медикаментами и биологическими веществами</x:v>
      </x:c>
      <x:c r="D566" s="33" t="str">
        <x:v>T40</x:v>
      </x:c>
      <x:c r="E566" s="39" t="n">
        <x:v>144</x:v>
      </x:c>
      <x:c r="F566" s="45" t="n">
        <x:v>38</x:v>
      </x:c>
      <x:c r="G566" s="45" t="n">
        <x:v>34</x:v>
      </x:c>
      <x:c r="H566" s="45" t="n">
        <x:v>42.25</x:v>
      </x:c>
      <x:c r="I566" s="45" t="n">
        <x:v>38.201388888888886</x:v>
      </x:c>
      <x:c r="J566" s="45" t="n">
        <x:v>13</x:v>
      </x:c>
      <x:c r="K566" s="45" t="n">
        <x:v>62</x:v>
      </x:c>
      <x:c r="L566" s="51" t="str">
        <x:v>Отравление другими синтетическими наркотиками</x:v>
      </x:c>
      <x:c r="M566" s="45" t="n">
        <x:v>8.25</x:v>
      </x:c>
      <x:c r="N566" s="33" t="str">
        <x:v>False</x:v>
      </x:c>
      <x:c r="O566" s="45" t="n">
        <x:v>19</x:v>
      </x:c>
    </x:row>
    <x:row r="567">
      <x:c r="A567" s="33" t="str">
        <x:v>XIX</x:v>
      </x:c>
      <x:c r="B567" s="33" t="str">
        <x:v>T36-T50</x:v>
      </x:c>
      <x:c r="C567" s="51" t="str">
        <x:v>Отравления лекарственными средствами, медикаментами и биологическими веществами</x:v>
      </x:c>
      <x:c r="D567" s="33" t="str">
        <x:v>T41</x:v>
      </x:c>
      <x:c r="E567" s="39" t="n">
        <x:v>2</x:v>
      </x:c>
      <x:c r="F567" s="45" t="n">
        <x:v>57</x:v>
      </x:c>
      <x:c r="G567" s="45" t="n">
        <x:v>42.5</x:v>
      </x:c>
      <x:c r="H567" s="45" t="n">
        <x:v>71.5</x:v>
      </x:c>
      <x:c r="I567" s="45" t="n">
        <x:v>57</x:v>
      </x:c>
      <x:c r="J567" s="45" t="n">
        <x:v>28</x:v>
      </x:c>
      <x:c r="K567" s="45" t="n">
        <x:v>86</x:v>
      </x:c>
      <x:c r="L567" s="51" t="str">
        <x:v>Отравление анестетиками</x:v>
      </x:c>
      <x:c r="M567" s="45" t="n">
        <x:v>29</x:v>
      </x:c>
      <x:c r="N567" s="33" t="str">
        <x:v>True</x:v>
      </x:c>
      <x:c r="O567" s="45" t="n">
        <x:v>19</x:v>
      </x:c>
    </x:row>
    <x:row r="568">
      <x:c r="A568" s="33" t="str">
        <x:v>XIX</x:v>
      </x:c>
      <x:c r="B568" s="33" t="str">
        <x:v>T36-T50</x:v>
      </x:c>
      <x:c r="C568" s="51" t="str">
        <x:v>Отравления лекарственными средствами, медикаментами и биологическими веществами</x:v>
      </x:c>
      <x:c r="D568" s="33" t="str">
        <x:v>T42</x:v>
      </x:c>
      <x:c r="E568" s="39" t="n">
        <x:v>31</x:v>
      </x:c>
      <x:c r="F568" s="45" t="n">
        <x:v>44</x:v>
      </x:c>
      <x:c r="G568" s="45" t="n">
        <x:v>34.5</x:v>
      </x:c>
      <x:c r="H568" s="45" t="n">
        <x:v>50.5</x:v>
      </x:c>
      <x:c r="I568" s="45" t="n">
        <x:v>46.096774193548384</x:v>
      </x:c>
      <x:c r="J568" s="45" t="n">
        <x:v>18</x:v>
      </x:c>
      <x:c r="K568" s="45" t="n">
        <x:v>89</x:v>
      </x:c>
      <x:c r="L568" s="51" t="str">
        <x:v>Отравление барбитуратами</x:v>
      </x:c>
      <x:c r="M568" s="45" t="n">
        <x:v>16</x:v>
      </x:c>
      <x:c r="N568" s="33" t="str">
        <x:v>False</x:v>
      </x:c>
      <x:c r="O568" s="45" t="n">
        <x:v>19</x:v>
      </x:c>
    </x:row>
    <x:row r="569">
      <x:c r="A569" s="33" t="str">
        <x:v>XIX</x:v>
      </x:c>
      <x:c r="B569" s="33" t="str">
        <x:v>T36-T50</x:v>
      </x:c>
      <x:c r="C569" s="51" t="str">
        <x:v>Отравления лекарственными средствами, медикаментами и биологическими веществами</x:v>
      </x:c>
      <x:c r="D569" s="33" t="str">
        <x:v>T43</x:v>
      </x:c>
      <x:c r="E569" s="39" t="n">
        <x:v>21</x:v>
      </x:c>
      <x:c r="F569" s="45" t="n">
        <x:v>45</x:v>
      </x:c>
      <x:c r="G569" s="45" t="n">
        <x:v>27</x:v>
      </x:c>
      <x:c r="H569" s="45" t="n">
        <x:v>48</x:v>
      </x:c>
      <x:c r="I569" s="45" t="n">
        <x:v>41.80952380952381</x:v>
      </x:c>
      <x:c r="J569" s="45" t="n">
        <x:v>16</x:v>
      </x:c>
      <x:c r="K569" s="45" t="n">
        <x:v>85</x:v>
      </x:c>
      <x:c r="L569" s="51" t="str">
        <x:v>Отравление психостимулирующими средствами, характеризующимися возможностью пристрастия к ним</x:v>
      </x:c>
      <x:c r="M569" s="45" t="n">
        <x:v>21</x:v>
      </x:c>
      <x:c r="N569" s="33" t="str">
        <x:v>False</x:v>
      </x:c>
      <x:c r="O569" s="45" t="n">
        <x:v>19</x:v>
      </x:c>
    </x:row>
    <x:row r="570">
      <x:c r="A570" s="33" t="str">
        <x:v>XIX</x:v>
      </x:c>
      <x:c r="B570" s="33" t="str">
        <x:v>T36-T50</x:v>
      </x:c>
      <x:c r="C570" s="51" t="str">
        <x:v>Отравления лекарственными средствами, медикаментами и биологическими веществами</x:v>
      </x:c>
      <x:c r="D570" s="33" t="str">
        <x:v>T44</x:v>
      </x:c>
      <x:c r="E570" s="39" t="n">
        <x:v>8</x:v>
      </x:c>
      <x:c r="F570" s="45" t="n">
        <x:v>47.5</x:v>
      </x:c>
      <x:c r="G570" s="45" t="n">
        <x:v>19.5</x:v>
      </x:c>
      <x:c r="H570" s="45" t="n">
        <x:v>62.75</x:v>
      </x:c>
      <x:c r="I570" s="45" t="n">
        <x:v>43.75</x:v>
      </x:c>
      <x:c r="J570" s="45" t="n">
        <x:v>13</x:v>
      </x:c>
      <x:c r="K570" s="45" t="n">
        <x:v>77</x:v>
      </x:c>
      <x:c r="L570" s="51" t="str">
        <x:v>Отравление ингибиторами МАО</x:v>
      </x:c>
      <x:c r="M570" s="45" t="n">
        <x:v>43.25</x:v>
      </x:c>
      <x:c r="N570" s="33" t="str">
        <x:v>False</x:v>
      </x:c>
      <x:c r="O570" s="45" t="n">
        <x:v>19</x:v>
      </x:c>
    </x:row>
    <x:row r="571">
      <x:c r="A571" s="33" t="str">
        <x:v>XIX</x:v>
      </x:c>
      <x:c r="B571" s="33" t="str">
        <x:v>T36-T50</x:v>
      </x:c>
      <x:c r="C571" s="51" t="str">
        <x:v>Отравления лекарственными средствами, медикаментами и биологическими веществами</x:v>
      </x:c>
      <x:c r="D571" s="33" t="str">
        <x:v>T45</x:v>
      </x:c>
      <x:c r="E571" s="39" t="n">
        <x:v>2</x:v>
      </x:c>
      <x:c r="F571" s="45" t="n">
        <x:v>31</x:v>
      </x:c>
      <x:c r="G571" s="45" t="n">
        <x:v>16.5</x:v>
      </x:c>
      <x:c r="H571" s="45" t="n">
        <x:v>45.5</x:v>
      </x:c>
      <x:c r="I571" s="45" t="n">
        <x:v>31</x:v>
      </x:c>
      <x:c r="J571" s="45" t="n">
        <x:v>2</x:v>
      </x:c>
      <x:c r="K571" s="45" t="n">
        <x:v>60</x:v>
      </x:c>
      <x:c r="L571" s="51" t="str">
        <x:v>Отравление препаратами влияющими на метаболизм мочевой кислоты</x:v>
      </x:c>
      <x:c r="M571" s="45" t="n">
        <x:v>29</x:v>
      </x:c>
      <x:c r="N571" s="33" t="str">
        <x:v>True</x:v>
      </x:c>
      <x:c r="O571" s="45" t="n">
        <x:v>19</x:v>
      </x:c>
    </x:row>
    <x:row r="572">
      <x:c r="A572" s="33" t="str">
        <x:v>XIX</x:v>
      </x:c>
      <x:c r="B572" s="33" t="str">
        <x:v>T36-T50</x:v>
      </x:c>
      <x:c r="C572" s="51" t="str">
        <x:v>Отравления лекарственными средствами, медикаментами и биологическими веществами</x:v>
      </x:c>
      <x:c r="D572" s="33" t="str">
        <x:v>T46</x:v>
      </x:c>
      <x:c r="E572" s="39" t="n">
        <x:v>8</x:v>
      </x:c>
      <x:c r="F572" s="45" t="n">
        <x:v>71</x:v>
      </x:c>
      <x:c r="G572" s="45" t="n">
        <x:v>56.5</x:v>
      </x:c>
      <x:c r="H572" s="45" t="n">
        <x:v>79.5</x:v>
      </x:c>
      <x:c r="I572" s="45" t="n">
        <x:v>62.875</x:v>
      </x:c>
      <x:c r="J572" s="45" t="n">
        <x:v>16</x:v>
      </x:c>
      <x:c r="K572" s="45" t="n">
        <x:v>81</x:v>
      </x:c>
      <x:c r="L572" s="51" t="str">
        <x:v>Отравление блокаторами кальциевых каналов</x:v>
      </x:c>
      <x:c r="M572" s="45" t="n">
        <x:v>23</x:v>
      </x:c>
      <x:c r="N572" s="33" t="str">
        <x:v>False</x:v>
      </x:c>
      <x:c r="O572" s="45" t="n">
        <x:v>19</x:v>
      </x:c>
    </x:row>
    <x:row r="573">
      <x:c r="A573" s="33" t="str">
        <x:v>XIX</x:v>
      </x:c>
      <x:c r="B573" s="33" t="str">
        <x:v>T36-T50</x:v>
      </x:c>
      <x:c r="C573" s="51" t="str">
        <x:v>Отравления лекарственными средствами, медикаментами и биологическими веществами</x:v>
      </x:c>
      <x:c r="D573" s="33" t="str">
        <x:v>T48</x:v>
      </x:c>
      <x:c r="E573" s="39" t="n">
        <x:v>3</x:v>
      </x:c>
      <x:c r="F573" s="45" t="n">
        <x:v>50</x:v>
      </x:c>
      <x:c r="G573" s="45" t="n">
        <x:v>39</x:v>
      </x:c>
      <x:c r="H573" s="45" t="n">
        <x:v>52</x:v>
      </x:c>
      <x:c r="I573" s="45" t="n">
        <x:v>44</x:v>
      </x:c>
      <x:c r="J573" s="45" t="n">
        <x:v>28</x:v>
      </x:c>
      <x:c r="K573" s="45" t="n">
        <x:v>54</x:v>
      </x:c>
      <x:c r="L573" s="51" t="str">
        <x:v>Отравление миорелаксантами [блокаторами Н-холинорецепторов скелетных мышц]</x:v>
      </x:c>
      <x:c r="M573" s="45" t="n">
        <x:v>13</x:v>
      </x:c>
      <x:c r="N573" s="33" t="str">
        <x:v>True</x:v>
      </x:c>
      <x:c r="O573" s="45" t="n">
        <x:v>19</x:v>
      </x:c>
    </x:row>
    <x:row r="574">
      <x:c r="A574" s="33" t="str">
        <x:v>XIX</x:v>
      </x:c>
      <x:c r="B574" s="33" t="str">
        <x:v>T36-T50</x:v>
      </x:c>
      <x:c r="C574" s="51" t="str">
        <x:v>Отравления лекарственными средствами, медикаментами и биологическими веществами</x:v>
      </x:c>
      <x:c r="D574" s="33" t="str">
        <x:v>T50</x:v>
      </x:c>
      <x:c r="E574" s="39" t="n">
        <x:v>4</x:v>
      </x:c>
      <x:c r="F574" s="45" t="n">
        <x:v>45</x:v>
      </x:c>
      <x:c r="G574" s="45" t="n">
        <x:v>39.75</x:v>
      </x:c>
      <x:c r="H574" s="45" t="n">
        <x:v>49.5</x:v>
      </x:c>
      <x:c r="I574" s="45" t="n">
        <x:v>44.25</x:v>
      </x:c>
      <x:c r="J574" s="45" t="n">
        <x:v>33</x:v>
      </x:c>
      <x:c r="K574" s="45" t="n">
        <x:v>54</x:v>
      </x:c>
      <x:c r="L574" s="51" t="str">
        <x:v>Отравление неуточненными лекарствами</x:v>
      </x:c>
      <x:c r="M574" s="45" t="n">
        <x:v>9.75</x:v>
      </x:c>
      <x:c r="N574" s="33" t="str">
        <x:v>True</x:v>
      </x:c>
      <x:c r="O574" s="45" t="n">
        <x:v>19</x:v>
      </x:c>
    </x:row>
    <x:row r="575">
      <x:c r="A575" s="33" t="str">
        <x:v>XIX</x:v>
      </x:c>
      <x:c r="B575" s="33" t="str">
        <x:v>T51-T65</x:v>
      </x:c>
      <x:c r="C575" s="51" t="str">
        <x:v>Токсическое действие веществ, преимущественно немедицинского назначения</x:v>
      </x:c>
      <x:c r="D575" s="33" t="str">
        <x:v>T51</x:v>
      </x:c>
      <x:c r="E575" s="39" t="n">
        <x:v>905</x:v>
      </x:c>
      <x:c r="F575" s="45" t="n">
        <x:v>50</x:v>
      </x:c>
      <x:c r="G575" s="45" t="n">
        <x:v>42</x:v>
      </x:c>
      <x:c r="H575" s="45" t="n">
        <x:v>60</x:v>
      </x:c>
      <x:c r="I575" s="45" t="n">
        <x:v>50.4707182320442</x:v>
      </x:c>
      <x:c r="J575" s="45" t="n">
        <x:v>17</x:v>
      </x:c>
      <x:c r="K575" s="45" t="n">
        <x:v>85</x:v>
      </x:c>
      <x:c r="L575" s="51" t="str">
        <x:v>Токсическое действие этанола</x:v>
      </x:c>
      <x:c r="M575" s="45" t="n">
        <x:v>18</x:v>
      </x:c>
      <x:c r="N575" s="33" t="str">
        <x:v>False</x:v>
      </x:c>
      <x:c r="O575" s="45" t="n">
        <x:v>19</x:v>
      </x:c>
    </x:row>
    <x:row r="576">
      <x:c r="A576" s="33" t="str">
        <x:v>XIX</x:v>
      </x:c>
      <x:c r="B576" s="33" t="str">
        <x:v>T51-T65</x:v>
      </x:c>
      <x:c r="C576" s="51" t="str">
        <x:v>Токсическое действие веществ, преимущественно немедицинского назначения</x:v>
      </x:c>
      <x:c r="D576" s="33" t="str">
        <x:v>T52</x:v>
      </x:c>
      <x:c r="E576" s="39" t="n">
        <x:v>40</x:v>
      </x:c>
      <x:c r="F576" s="45" t="n">
        <x:v>51.5</x:v>
      </x:c>
      <x:c r="G576" s="45" t="n">
        <x:v>42.75</x:v>
      </x:c>
      <x:c r="H576" s="45" t="n">
        <x:v>59.5</x:v>
      </x:c>
      <x:c r="I576" s="45" t="n">
        <x:v>50.6</x:v>
      </x:c>
      <x:c r="J576" s="45" t="n">
        <x:v>27</x:v>
      </x:c>
      <x:c r="K576" s="45" t="n">
        <x:v>74</x:v>
      </x:c>
      <x:c r="L576" s="51" t="str">
        <x:v>Токсическое действие кетонов</x:v>
      </x:c>
      <x:c r="M576" s="45" t="n">
        <x:v>16.75</x:v>
      </x:c>
      <x:c r="N576" s="33" t="str">
        <x:v>False</x:v>
      </x:c>
      <x:c r="O576" s="45" t="n">
        <x:v>19</x:v>
      </x:c>
    </x:row>
    <x:row r="577">
      <x:c r="A577" s="33" t="str">
        <x:v>XIX</x:v>
      </x:c>
      <x:c r="B577" s="33" t="str">
        <x:v>T51-T65</x:v>
      </x:c>
      <x:c r="C577" s="51" t="str">
        <x:v>Токсическое действие веществ, преимущественно немедицинского назначения</x:v>
      </x:c>
      <x:c r="D577" s="33" t="str">
        <x:v>T53</x:v>
      </x:c>
      <x:c r="E577" s="39" t="n">
        <x:v>1</x:v>
      </x:c>
      <x:c r="F577" s="45" t="n">
        <x:v>32</x:v>
      </x:c>
      <x:c r="G577" s="45" t="n">
        <x:v>32</x:v>
      </x:c>
      <x:c r="H577" s="45" t="n">
        <x:v>32</x:v>
      </x:c>
      <x:c r="I577" s="45" t="n">
        <x:v>32</x:v>
      </x:c>
      <x:c r="J577" s="45" t="n">
        <x:v>32</x:v>
      </x:c>
      <x:c r="K577" s="45" t="n">
        <x:v>32</x:v>
      </x:c>
      <x:c r="L577" s="51" t="str">
        <x:v>Токсическое действие четыреххлористого углерода</x:v>
      </x:c>
      <x:c r="M577" s="45" t="n">
        <x:v>0</x:v>
      </x:c>
      <x:c r="N577" s="33" t="str">
        <x:v>True</x:v>
      </x:c>
      <x:c r="O577" s="45" t="n">
        <x:v>19</x:v>
      </x:c>
    </x:row>
    <x:row r="578">
      <x:c r="A578" s="33" t="str">
        <x:v>XIX</x:v>
      </x:c>
      <x:c r="B578" s="33" t="str">
        <x:v>T51-T65</x:v>
      </x:c>
      <x:c r="C578" s="51" t="str">
        <x:v>Токсическое действие веществ, преимущественно немедицинского назначения</x:v>
      </x:c>
      <x:c r="D578" s="33" t="str">
        <x:v>T54</x:v>
      </x:c>
      <x:c r="E578" s="39" t="n">
        <x:v>42</x:v>
      </x:c>
      <x:c r="F578" s="45" t="n">
        <x:v>65.5</x:v>
      </x:c>
      <x:c r="G578" s="45" t="n">
        <x:v>56.25</x:v>
      </x:c>
      <x:c r="H578" s="45" t="n">
        <x:v>77.75</x:v>
      </x:c>
      <x:c r="I578" s="45" t="n">
        <x:v>66.83333333333333</x:v>
      </x:c>
      <x:c r="J578" s="45" t="n">
        <x:v>34</x:v>
      </x:c>
      <x:c r="K578" s="45" t="n">
        <x:v>91</x:v>
      </x:c>
      <x:c r="L578" s="51" t="str">
        <x:v>Токсическое действие едких кислот и кислотоподобных веществ</x:v>
      </x:c>
      <x:c r="M578" s="45" t="n">
        <x:v>21.5</x:v>
      </x:c>
      <x:c r="N578" s="33" t="str">
        <x:v>False</x:v>
      </x:c>
      <x:c r="O578" s="45" t="n">
        <x:v>19</x:v>
      </x:c>
    </x:row>
    <x:row r="579">
      <x:c r="A579" s="33" t="str">
        <x:v>XIX</x:v>
      </x:c>
      <x:c r="B579" s="33" t="str">
        <x:v>T51-T65</x:v>
      </x:c>
      <x:c r="C579" s="51" t="str">
        <x:v>Токсическое действие веществ, преимущественно немедицинского назначения</x:v>
      </x:c>
      <x:c r="D579" s="33" t="str">
        <x:v>T57</x:v>
      </x:c>
      <x:c r="E579" s="39" t="n">
        <x:v>1</x:v>
      </x:c>
      <x:c r="F579" s="45" t="n">
        <x:v>21</x:v>
      </x:c>
      <x:c r="G579" s="45" t="n">
        <x:v>21</x:v>
      </x:c>
      <x:c r="H579" s="45" t="n">
        <x:v>21</x:v>
      </x:c>
      <x:c r="I579" s="45" t="n">
        <x:v>21</x:v>
      </x:c>
      <x:c r="J579" s="45" t="n">
        <x:v>21</x:v>
      </x:c>
      <x:c r="K579" s="45" t="n">
        <x:v>21</x:v>
      </x:c>
      <x:c r="L579" s="51" t="str">
        <x:v>Токсическое действие других неорганических веществ</x:v>
      </x:c>
      <x:c r="M579" s="45" t="n">
        <x:v>0</x:v>
      </x:c>
      <x:c r="N579" s="33" t="str">
        <x:v>True</x:v>
      </x:c>
      <x:c r="O579" s="45" t="n">
        <x:v>19</x:v>
      </x:c>
    </x:row>
    <x:row r="580">
      <x:c r="A580" s="33" t="str">
        <x:v>XIX</x:v>
      </x:c>
      <x:c r="B580" s="33" t="str">
        <x:v>T51-T65</x:v>
      </x:c>
      <x:c r="C580" s="51" t="str">
        <x:v>Токсическое действие веществ, преимущественно немедицинского назначения</x:v>
      </x:c>
      <x:c r="D580" s="33" t="str">
        <x:v>T58</x:v>
      </x:c>
      <x:c r="E580" s="39" t="n">
        <x:v>285</x:v>
      </x:c>
      <x:c r="F580" s="45" t="n">
        <x:v>50</x:v>
      </x:c>
      <x:c r="G580" s="45" t="n">
        <x:v>40</x:v>
      </x:c>
      <x:c r="H580" s="45" t="n">
        <x:v>60</x:v>
      </x:c>
      <x:c r="I580" s="45" t="n">
        <x:v>49.319298245614036</x:v>
      </x:c>
      <x:c r="J580" s="45" t="n">
        <x:v>2</x:v>
      </x:c>
      <x:c r="K580" s="45" t="n">
        <x:v>89</x:v>
      </x:c>
      <x:c r="L580" s="51" t="str">
        <x:v>Токсическое действие окиси углерода</x:v>
      </x:c>
      <x:c r="M580" s="45" t="n">
        <x:v>20</x:v>
      </x:c>
      <x:c r="N580" s="33" t="str">
        <x:v>False</x:v>
      </x:c>
      <x:c r="O580" s="45" t="n">
        <x:v>19</x:v>
      </x:c>
    </x:row>
    <x:row r="581">
      <x:c r="A581" s="33" t="str">
        <x:v>XIX</x:v>
      </x:c>
      <x:c r="B581" s="33" t="str">
        <x:v>T51-T65</x:v>
      </x:c>
      <x:c r="C581" s="51" t="str">
        <x:v>Токсическое действие веществ, преимущественно немедицинского назначения</x:v>
      </x:c>
      <x:c r="D581" s="33" t="str">
        <x:v>T59</x:v>
      </x:c>
      <x:c r="E581" s="39" t="n">
        <x:v>31</x:v>
      </x:c>
      <x:c r="F581" s="45" t="n">
        <x:v>53</x:v>
      </x:c>
      <x:c r="G581" s="45" t="n">
        <x:v>14.5</x:v>
      </x:c>
      <x:c r="H581" s="45" t="n">
        <x:v>65</x:v>
      </x:c>
      <x:c r="I581" s="45" t="n">
        <x:v>42.58064516129032</x:v>
      </x:c>
      <x:c r="J581" s="45" t="n">
        <x:v>1</x:v>
      </x:c>
      <x:c r="K581" s="45" t="n">
        <x:v>92</x:v>
      </x:c>
      <x:c r="L581" s="51" t="str">
        <x:v>Токсическое действие газов, дымов и паров неуточненных</x:v>
      </x:c>
      <x:c r="M581" s="45" t="n">
        <x:v>50.5</x:v>
      </x:c>
      <x:c r="N581" s="33" t="str">
        <x:v>False</x:v>
      </x:c>
      <x:c r="O581" s="45" t="n">
        <x:v>19</x:v>
      </x:c>
    </x:row>
    <x:row r="582">
      <x:c r="A582" s="33" t="str">
        <x:v>XIX</x:v>
      </x:c>
      <x:c r="B582" s="33" t="str">
        <x:v>T51-T65</x:v>
      </x:c>
      <x:c r="C582" s="51" t="str">
        <x:v>Токсическое действие веществ, преимущественно немедицинского назначения</x:v>
      </x:c>
      <x:c r="D582" s="33" t="str">
        <x:v>T62</x:v>
      </x:c>
      <x:c r="E582" s="39" t="n">
        <x:v>2</x:v>
      </x:c>
      <x:c r="F582" s="45" t="n">
        <x:v>79</x:v>
      </x:c>
      <x:c r="G582" s="45" t="n">
        <x:v>75</x:v>
      </x:c>
      <x:c r="H582" s="45" t="n">
        <x:v>83</x:v>
      </x:c>
      <x:c r="I582" s="45" t="n">
        <x:v>79</x:v>
      </x:c>
      <x:c r="J582" s="45" t="n">
        <x:v>71</x:v>
      </x:c>
      <x:c r="K582" s="45" t="n">
        <x:v>87</x:v>
      </x:c>
      <x:c r="L582" s="51" t="str">
        <x:v>Токсическое действие других ядовитых веществ, содержащихся в другом (их) съеденном (ых) растении (ях)</x:v>
      </x:c>
      <x:c r="M582" s="45" t="n">
        <x:v>8</x:v>
      </x:c>
      <x:c r="N582" s="33" t="str">
        <x:v>True</x:v>
      </x:c>
      <x:c r="O582" s="45" t="n">
        <x:v>19</x:v>
      </x:c>
    </x:row>
    <x:row r="583">
      <x:c r="A583" s="33" t="str">
        <x:v>XIX</x:v>
      </x:c>
      <x:c r="B583" s="33" t="str">
        <x:v>T51-T65</x:v>
      </x:c>
      <x:c r="C583" s="51" t="str">
        <x:v>Токсическое действие веществ, преимущественно немедицинского назначения</x:v>
      </x:c>
      <x:c r="D583" s="33" t="str">
        <x:v>T63</x:v>
      </x:c>
      <x:c r="E583" s="39" t="n">
        <x:v>1</x:v>
      </x:c>
      <x:c r="F583" s="45" t="n">
        <x:v>63</x:v>
      </x:c>
      <x:c r="G583" s="45" t="n">
        <x:v>63</x:v>
      </x:c>
      <x:c r="H583" s="45" t="n">
        <x:v>63</x:v>
      </x:c>
      <x:c r="I583" s="45" t="n">
        <x:v>63</x:v>
      </x:c>
      <x:c r="J583" s="45" t="n">
        <x:v>63</x:v>
      </x:c>
      <x:c r="K583" s="45" t="n">
        <x:v>63</x:v>
      </x:c>
      <x:c r="L583" s="51" t="str">
        <x:v>Токсическое действие яда членистоногих</x:v>
      </x:c>
      <x:c r="M583" s="45" t="n">
        <x:v>0</x:v>
      </x:c>
      <x:c r="N583" s="33" t="str">
        <x:v>True</x:v>
      </x:c>
      <x:c r="O583" s="45" t="n">
        <x:v>19</x:v>
      </x:c>
    </x:row>
    <x:row r="584">
      <x:c r="A584" s="33" t="str">
        <x:v>XIX</x:v>
      </x:c>
      <x:c r="B584" s="33" t="str">
        <x:v>T51-T65</x:v>
      </x:c>
      <x:c r="C584" s="51" t="str">
        <x:v>Токсическое действие веществ, преимущественно немедицинского назначения</x:v>
      </x:c>
      <x:c r="D584" s="33" t="str">
        <x:v>T65</x:v>
      </x:c>
      <x:c r="E584" s="39" t="n">
        <x:v>336</x:v>
      </x:c>
      <x:c r="F584" s="45" t="n">
        <x:v>46</x:v>
      </x:c>
      <x:c r="G584" s="45" t="n">
        <x:v>37</x:v>
      </x:c>
      <x:c r="H584" s="45" t="n">
        <x:v>58</x:v>
      </x:c>
      <x:c r="I584" s="45" t="n">
        <x:v>46.74404761904762</x:v>
      </x:c>
      <x:c r="J584" s="45" t="n">
        <x:v>14</x:v>
      </x:c>
      <x:c r="K584" s="45" t="n">
        <x:v>84</x:v>
      </x:c>
      <x:c r="L584" s="51" t="str">
        <x:v>Токсическое действие неуточненного вещества</x:v>
      </x:c>
      <x:c r="M584" s="45" t="n">
        <x:v>21</x:v>
      </x:c>
      <x:c r="N584" s="33" t="str">
        <x:v>False</x:v>
      </x:c>
      <x:c r="O584" s="45" t="n">
        <x:v>19</x:v>
      </x:c>
    </x:row>
    <x:row r="585">
      <x:c r="A585" s="33" t="str">
        <x:v>XIX</x:v>
      </x:c>
      <x:c r="B585" s="33" t="str">
        <x:v>T66-T78</x:v>
      </x:c>
      <x:c r="C585" s="51" t="str">
        <x:v>Другие и неуточненные эффекты воздействия внешних причин</x:v>
      </x:c>
      <x:c r="D585" s="33" t="str">
        <x:v>T67</x:v>
      </x:c>
      <x:c r="E585" s="39" t="n">
        <x:v>4</x:v>
      </x:c>
      <x:c r="F585" s="45" t="n">
        <x:v>39.5</x:v>
      </x:c>
      <x:c r="G585" s="45" t="n">
        <x:v>24.25</x:v>
      </x:c>
      <x:c r="H585" s="45" t="n">
        <x:v>58.5</x:v>
      </x:c>
      <x:c r="I585" s="45" t="n">
        <x:v>43.25</x:v>
      </x:c>
      <x:c r="J585" s="45" t="n">
        <x:v>19</x:v>
      </x:c>
      <x:c r="K585" s="45" t="n">
        <x:v>75</x:v>
      </x:c>
      <x:c r="L585" s="51" t="str">
        <x:v>Тепловой и солнечный удар</x:v>
      </x:c>
      <x:c r="M585" s="45" t="n">
        <x:v>34.25</x:v>
      </x:c>
      <x:c r="N585" s="33" t="str">
        <x:v>True</x:v>
      </x:c>
      <x:c r="O585" s="45" t="n">
        <x:v>19</x:v>
      </x:c>
    </x:row>
    <x:row r="586">
      <x:c r="A586" s="33" t="str">
        <x:v>XIX</x:v>
      </x:c>
      <x:c r="B586" s="33" t="str">
        <x:v>T66-T78</x:v>
      </x:c>
      <x:c r="C586" s="51" t="str">
        <x:v>Другие и неуточненные эффекты воздействия внешних причин</x:v>
      </x:c>
      <x:c r="D586" s="33" t="str">
        <x:v>T68</x:v>
      </x:c>
      <x:c r="E586" s="39" t="n">
        <x:v>300</x:v>
      </x:c>
      <x:c r="F586" s="45" t="n">
        <x:v>54</x:v>
      </x:c>
      <x:c r="G586" s="45" t="n">
        <x:v>43</x:v>
      </x:c>
      <x:c r="H586" s="45" t="n">
        <x:v>63</x:v>
      </x:c>
      <x:c r="I586" s="45" t="n">
        <x:v>53.776666666666664</x:v>
      </x:c>
      <x:c r="J586" s="45" t="n">
        <x:v>15</x:v>
      </x:c>
      <x:c r="K586" s="45" t="n">
        <x:v>90</x:v>
      </x:c>
      <x:c r="L586" s="51" t="str">
        <x:v>Гипотермия</x:v>
      </x:c>
      <x:c r="M586" s="45" t="n">
        <x:v>20</x:v>
      </x:c>
      <x:c r="N586" s="33" t="str">
        <x:v>False</x:v>
      </x:c>
      <x:c r="O586" s="45" t="n">
        <x:v>19</x:v>
      </x:c>
    </x:row>
    <x:row r="587">
      <x:c r="A587" s="33" t="str">
        <x:v>XIX</x:v>
      </x:c>
      <x:c r="B587" s="33" t="str">
        <x:v>T66-T78</x:v>
      </x:c>
      <x:c r="C587" s="51" t="str">
        <x:v>Другие и неуточненные эффекты воздействия внешних причин</x:v>
      </x:c>
      <x:c r="D587" s="33" t="str">
        <x:v>T69</x:v>
      </x:c>
      <x:c r="E587" s="39" t="n">
        <x:v>23</x:v>
      </x:c>
      <x:c r="F587" s="45" t="n">
        <x:v>57</x:v>
      </x:c>
      <x:c r="G587" s="45" t="n">
        <x:v>53.5</x:v>
      </x:c>
      <x:c r="H587" s="45" t="n">
        <x:v>63.5</x:v>
      </x:c>
      <x:c r="I587" s="45" t="n">
        <x:v>57.391304347826086</x:v>
      </x:c>
      <x:c r="J587" s="45" t="n">
        <x:v>38</x:v>
      </x:c>
      <x:c r="K587" s="45" t="n">
        <x:v>80</x:v>
      </x:c>
      <x:c r="L587" s="51" t="str">
        <x:v>Другие уточненные эффекты воздействия низкой температуры</x:v>
      </x:c>
      <x:c r="M587" s="45" t="n">
        <x:v>10</x:v>
      </x:c>
      <x:c r="N587" s="33" t="str">
        <x:v>False</x:v>
      </x:c>
      <x:c r="O587" s="45" t="n">
        <x:v>19</x:v>
      </x:c>
    </x:row>
    <x:row r="588">
      <x:c r="A588" s="33" t="str">
        <x:v>XIX</x:v>
      </x:c>
      <x:c r="B588" s="33" t="str">
        <x:v>T66-T78</x:v>
      </x:c>
      <x:c r="C588" s="51" t="str">
        <x:v>Другие и неуточненные эффекты воздействия внешних причин</x:v>
      </x:c>
      <x:c r="D588" s="33" t="str">
        <x:v>T70</x:v>
      </x:c>
      <x:c r="E588" s="39" t="n">
        <x:v>3</x:v>
      </x:c>
      <x:c r="F588" s="45" t="n">
        <x:v>32</x:v>
      </x:c>
      <x:c r="G588" s="45" t="n">
        <x:v>30.5</x:v>
      </x:c>
      <x:c r="H588" s="45" t="n">
        <x:v>34</x:v>
      </x:c>
      <x:c r="I588" s="45" t="n">
        <x:v>32.333333333333336</x:v>
      </x:c>
      <x:c r="J588" s="45" t="n">
        <x:v>29</x:v>
      </x:c>
      <x:c r="K588" s="45" t="n">
        <x:v>36</x:v>
      </x:c>
      <x:c r="L588" s="51" t="str">
        <x:v>Эффекты воздействия давления воздуха и воды</x:v>
      </x:c>
      <x:c r="M588" s="45" t="n">
        <x:v>3.5</x:v>
      </x:c>
      <x:c r="N588" s="33" t="str">
        <x:v>True</x:v>
      </x:c>
      <x:c r="O588" s="45" t="n">
        <x:v>19</x:v>
      </x:c>
    </x:row>
    <x:row r="589">
      <x:c r="A589" s="33" t="str">
        <x:v>XIX</x:v>
      </x:c>
      <x:c r="B589" s="33" t="str">
        <x:v>T66-T78</x:v>
      </x:c>
      <x:c r="C589" s="51" t="str">
        <x:v>Другие и неуточненные эффекты воздействия внешних причин</x:v>
      </x:c>
      <x:c r="D589" s="33" t="str">
        <x:v>T71</x:v>
      </x:c>
      <x:c r="E589" s="39" t="n">
        <x:v>1205</x:v>
      </x:c>
      <x:c r="F589" s="45" t="n">
        <x:v>41</x:v>
      </x:c>
      <x:c r="G589" s="45" t="n">
        <x:v>33</x:v>
      </x:c>
      <x:c r="H589" s="45" t="n">
        <x:v>54</x:v>
      </x:c>
      <x:c r="I589" s="45" t="n">
        <x:v>43.7045643153527</x:v>
      </x:c>
      <x:c r="J589" s="45" t="n">
        <x:v>0</x:v>
      </x:c>
      <x:c r="K589" s="45" t="n">
        <x:v>97</x:v>
      </x:c>
      <x:c r="L589" s="51" t="str">
        <x:v>Асфиксия</x:v>
      </x:c>
      <x:c r="M589" s="45" t="n">
        <x:v>21</x:v>
      </x:c>
      <x:c r="N589" s="33" t="str">
        <x:v>False</x:v>
      </x:c>
      <x:c r="O589" s="45" t="n">
        <x:v>19</x:v>
      </x:c>
    </x:row>
    <x:row r="590">
      <x:c r="A590" s="33" t="str">
        <x:v>XIX</x:v>
      </x:c>
      <x:c r="B590" s="33" t="str">
        <x:v>T66-T78</x:v>
      </x:c>
      <x:c r="C590" s="51" t="str">
        <x:v>Другие и неуточненные эффекты воздействия внешних причин</x:v>
      </x:c>
      <x:c r="D590" s="33" t="str">
        <x:v>T75</x:v>
      </x:c>
      <x:c r="E590" s="39" t="n">
        <x:v>379</x:v>
      </x:c>
      <x:c r="F590" s="45" t="n">
        <x:v>42</x:v>
      </x:c>
      <x:c r="G590" s="45" t="n">
        <x:v>32</x:v>
      </x:c>
      <x:c r="H590" s="45" t="n">
        <x:v>55.5</x:v>
      </x:c>
      <x:c r="I590" s="45" t="n">
        <x:v>42.94195250659631</x:v>
      </x:c>
      <x:c r="J590" s="45" t="n">
        <x:v>0</x:v>
      </x:c>
      <x:c r="K590" s="45" t="n">
        <x:v>91</x:v>
      </x:c>
      <x:c r="L590" s="51" t="str">
        <x:v>Утопление и несмертельное погружение в воду</x:v>
      </x:c>
      <x:c r="M590" s="45" t="n">
        <x:v>23.5</x:v>
      </x:c>
      <x:c r="N590" s="33" t="str">
        <x:v>False</x:v>
      </x:c>
      <x:c r="O590" s="45" t="n">
        <x:v>19</x:v>
      </x:c>
    </x:row>
    <x:row r="591">
      <x:c r="A591" s="33" t="str">
        <x:v>XIX</x:v>
      </x:c>
      <x:c r="B591" s="33" t="str">
        <x:v>T66-T78</x:v>
      </x:c>
      <x:c r="C591" s="51" t="str">
        <x:v>Другие и неуточненные эффекты воздействия внешних причин</x:v>
      </x:c>
      <x:c r="D591" s="33" t="str">
        <x:v>T78</x:v>
      </x:c>
      <x:c r="E591" s="39" t="n">
        <x:v>7</x:v>
      </x:c>
      <x:c r="F591" s="45" t="n">
        <x:v>59</x:v>
      </x:c>
      <x:c r="G591" s="45" t="n">
        <x:v>49.5</x:v>
      </x:c>
      <x:c r="H591" s="45" t="n">
        <x:v>67</x:v>
      </x:c>
      <x:c r="I591" s="45" t="n">
        <x:v>57.857142857142854</x:v>
      </x:c>
      <x:c r="J591" s="45" t="n">
        <x:v>42</x:v>
      </x:c>
      <x:c r="K591" s="45" t="n">
        <x:v>71</x:v>
      </x:c>
      <x:c r="L591" s="51" t="str">
        <x:v>Ангионевротический отек</x:v>
      </x:c>
      <x:c r="M591" s="45" t="n">
        <x:v>17.5</x:v>
      </x:c>
      <x:c r="N591" s="33" t="str">
        <x:v>False</x:v>
      </x:c>
      <x:c r="O591" s="45" t="n">
        <x:v>19</x:v>
      </x:c>
    </x:row>
    <x:row r="592">
      <x:c r="A592" s="33" t="str">
        <x:v>XIX</x:v>
      </x:c>
      <x:c r="B592" s="33" t="str">
        <x:v>T79-T79</x:v>
      </x:c>
      <x:c r="C592" s="51" t="str">
        <x:v>Некоторые ранние осложнения травмы</x:v>
      </x:c>
      <x:c r="D592" s="33" t="str">
        <x:v>T79</x:v>
      </x:c>
      <x:c r="E592" s="39" t="n">
        <x:v>2</x:v>
      </x:c>
      <x:c r="F592" s="45" t="n">
        <x:v>59</x:v>
      </x:c>
      <x:c r="G592" s="45" t="n">
        <x:v>58</x:v>
      </x:c>
      <x:c r="H592" s="45" t="n">
        <x:v>60</x:v>
      </x:c>
      <x:c r="I592" s="45" t="n">
        <x:v>59</x:v>
      </x:c>
      <x:c r="J592" s="45" t="n">
        <x:v>57</x:v>
      </x:c>
      <x:c r="K592" s="45" t="n">
        <x:v>61</x:v>
      </x:c>
      <x:c r="L592" s="51" t="str">
        <x:v>Травматическая ишемия мышц</x:v>
      </x:c>
      <x:c r="M592" s="45" t="n">
        <x:v>2</x:v>
      </x:c>
      <x:c r="N592" s="33" t="str">
        <x:v>True</x:v>
      </x:c>
      <x:c r="O592" s="45" t="n">
        <x:v>19</x:v>
      </x:c>
    </x:row>
    <x:row r="593">
      <x:c r="A593" s="33" t="str">
        <x:v>XIX</x:v>
      </x:c>
      <x:c r="B593" s="33" t="str">
        <x:v>T80-T88</x:v>
      </x:c>
      <x:c r="C593" s="51" t="str">
        <x:v>Осложнения хирургических и терапевтических вмешательств, не классифицированные в других рубриках</x:v>
      </x:c>
      <x:c r="D593" s="33" t="str">
        <x:v>T80</x:v>
      </x:c>
      <x:c r="E593" s="39" t="n">
        <x:v>3</x:v>
      </x:c>
      <x:c r="F593" s="45" t="n">
        <x:v>57</x:v>
      </x:c>
      <x:c r="G593" s="45" t="n">
        <x:v>46.5</x:v>
      </x:c>
      <x:c r="H593" s="45" t="n">
        <x:v>65</x:v>
      </x:c>
      <x:c r="I593" s="45" t="n">
        <x:v>55.333333333333336</x:v>
      </x:c>
      <x:c r="J593" s="45" t="n">
        <x:v>36</x:v>
      </x:c>
      <x:c r="K593" s="45" t="n">
        <x:v>73</x:v>
      </x:c>
      <x:c r="L593" s="51" t="str">
        <x:v>Инфекции, связанные с инфузией, трансфузией и лечебной инъекцией</x:v>
      </x:c>
      <x:c r="M593" s="45" t="n">
        <x:v>18.5</x:v>
      </x:c>
      <x:c r="N593" s="33" t="str">
        <x:v>True</x:v>
      </x:c>
      <x:c r="O593" s="45" t="n">
        <x:v>19</x:v>
      </x:c>
    </x:row>
    <x:row r="594">
      <x:c r="A594" s="33" t="str">
        <x:v>XIX</x:v>
      </x:c>
      <x:c r="B594" s="33" t="str">
        <x:v>T80-T88</x:v>
      </x:c>
      <x:c r="C594" s="51" t="str">
        <x:v>Осложнения хирургических и терапевтических вмешательств, не классифицированные в других рубриках</x:v>
      </x:c>
      <x:c r="D594" s="33" t="str">
        <x:v>T81</x:v>
      </x:c>
      <x:c r="E594" s="39" t="n">
        <x:v>26</x:v>
      </x:c>
      <x:c r="F594" s="45" t="n">
        <x:v>61.5</x:v>
      </x:c>
      <x:c r="G594" s="45" t="n">
        <x:v>53.25</x:v>
      </x:c>
      <x:c r="H594" s="45" t="n">
        <x:v>72.5</x:v>
      </x:c>
      <x:c r="I594" s="45" t="n">
        <x:v>62.88461538461539</x:v>
      </x:c>
      <x:c r="J594" s="45" t="n">
        <x:v>35</x:v>
      </x:c>
      <x:c r="K594" s="45" t="n">
        <x:v>88</x:v>
      </x:c>
      <x:c r="L594" s="51" t="str">
        <x:v>Случайный прокол или разрыв при выполнении процедуры, не классифицированный в других рубриках</x:v>
      </x:c>
      <x:c r="M594" s="45" t="n">
        <x:v>19.25</x:v>
      </x:c>
      <x:c r="N594" s="33" t="str">
        <x:v>False</x:v>
      </x:c>
      <x:c r="O594" s="45" t="n">
        <x:v>19</x:v>
      </x:c>
    </x:row>
    <x:row r="595">
      <x:c r="A595" s="33" t="str">
        <x:v>XIX</x:v>
      </x:c>
      <x:c r="B595" s="33" t="str">
        <x:v>T80-T88</x:v>
      </x:c>
      <x:c r="C595" s="51" t="str">
        <x:v>Осложнения хирургических и терапевтических вмешательств, не классифицированные в других рубриках</x:v>
      </x:c>
      <x:c r="D595" s="33" t="str">
        <x:v>T82</x:v>
      </x:c>
      <x:c r="E595" s="39" t="n">
        <x:v>3</x:v>
      </x:c>
      <x:c r="F595" s="45" t="n">
        <x:v>61</x:v>
      </x:c>
      <x:c r="G595" s="45" t="n">
        <x:v>53.5</x:v>
      </x:c>
      <x:c r="H595" s="45" t="n">
        <x:v>61.5</x:v>
      </x:c>
      <x:c r="I595" s="45" t="n">
        <x:v>56.333333333333336</x:v>
      </x:c>
      <x:c r="J595" s="45" t="n">
        <x:v>46</x:v>
      </x:c>
      <x:c r="K595" s="45" t="n">
        <x:v>62</x:v>
      </x:c>
      <x:c r="L595" s="51" t="str">
        <x:v>Осложнения других сердечно-сосудистых устройств</x:v>
      </x:c>
      <x:c r="M595" s="45" t="n">
        <x:v>8</x:v>
      </x:c>
      <x:c r="N595" s="33" t="str">
        <x:v>True</x:v>
      </x:c>
      <x:c r="O595" s="45" t="n">
        <x:v>19</x:v>
      </x:c>
    </x:row>
    <x:row r="596">
      <x:c r="A596" s="33" t="str">
        <x:v>XIX</x:v>
      </x:c>
      <x:c r="B596" s="33" t="str">
        <x:v>T80-T88</x:v>
      </x:c>
      <x:c r="C596" s="51" t="str">
        <x:v>Осложнения хирургических и терапевтических вмешательств, не классифицированные в других рубриках</x:v>
      </x:c>
      <x:c r="D596" s="33" t="str">
        <x:v>T84</x:v>
      </x:c>
      <x:c r="E596" s="39" t="n">
        <x:v>1</x:v>
      </x:c>
      <x:c r="F596" s="45" t="n">
        <x:v>85</x:v>
      </x:c>
      <x:c r="G596" s="45" t="n">
        <x:v>85</x:v>
      </x:c>
      <x:c r="H596" s="45" t="n">
        <x:v>85</x:v>
      </x:c>
      <x:c r="I596" s="45" t="n">
        <x:v>85</x:v>
      </x:c>
      <x:c r="J596" s="45" t="n">
        <x:v>85</x:v>
      </x:c>
      <x:c r="K596" s="45" t="n">
        <x:v>85</x:v>
      </x:c>
      <x:c r="L596" s="51" t="str">
        <x:v>Инфекция протеза сустава</x:v>
      </x:c>
      <x:c r="M596" s="45" t="n">
        <x:v>0</x:v>
      </x:c>
      <x:c r="N596" s="33" t="str">
        <x:v>True</x:v>
      </x:c>
      <x:c r="O596" s="45" t="n">
        <x:v>19</x:v>
      </x:c>
    </x:row>
    <x:row r="597">
      <x:c r="A597" s="33" t="str">
        <x:v>XIX</x:v>
      </x:c>
      <x:c r="B597" s="33" t="str">
        <x:v>T80-T88</x:v>
      </x:c>
      <x:c r="C597" s="51" t="str">
        <x:v>Осложнения хирургических и терапевтических вмешательств, не классифицированные в других рубриках</x:v>
      </x:c>
      <x:c r="D597" s="33" t="str">
        <x:v>T85</x:v>
      </x:c>
      <x:c r="E597" s="39" t="n">
        <x:v>3</x:v>
      </x:c>
      <x:c r="F597" s="45" t="n">
        <x:v>3</x:v>
      </x:c>
      <x:c r="G597" s="45" t="n">
        <x:v>2.5</x:v>
      </x:c>
      <x:c r="H597" s="45" t="n">
        <x:v>40.5</x:v>
      </x:c>
      <x:c r="I597" s="45" t="n">
        <x:v>27.666666666666668</x:v>
      </x:c>
      <x:c r="J597" s="45" t="n">
        <x:v>2</x:v>
      </x:c>
      <x:c r="K597" s="45" t="n">
        <x:v>78</x:v>
      </x:c>
      <x:c r="L597" s="51" t="str">
        <x:v>Осложнение от имплантатов</x:v>
      </x:c>
      <x:c r="M597" s="45" t="n">
        <x:v>38</x:v>
      </x:c>
      <x:c r="N597" s="33" t="str">
        <x:v>True</x:v>
      </x:c>
      <x:c r="O597" s="45" t="n">
        <x:v>19</x:v>
      </x:c>
    </x:row>
    <x:row r="598">
      <x:c r="A598" s="33" t="str">
        <x:v>XIX</x:v>
      </x:c>
      <x:c r="B598" s="33" t="str">
        <x:v>T80-T88</x:v>
      </x:c>
      <x:c r="C598" s="51" t="str">
        <x:v>Осложнения хирургических и терапевтических вмешательств, не классифицированные в других рубриках</x:v>
      </x:c>
      <x:c r="D598" s="33" t="str">
        <x:v>T86</x:v>
      </x:c>
      <x:c r="E598" s="39" t="n">
        <x:v>1</x:v>
      </x:c>
      <x:c r="F598" s="45" t="n">
        <x:v>33</x:v>
      </x:c>
      <x:c r="G598" s="45" t="n">
        <x:v>33</x:v>
      </x:c>
      <x:c r="H598" s="45" t="n">
        <x:v>33</x:v>
      </x:c>
      <x:c r="I598" s="45" t="n">
        <x:v>33</x:v>
      </x:c>
      <x:c r="J598" s="45" t="n">
        <x:v>33</x:v>
      </x:c>
      <x:c r="K598" s="45" t="n">
        <x:v>33</x:v>
      </x:c>
      <x:c r="L598" s="51" t="str">
        <x:v>Отторжение трансплантата почки</x:v>
      </x:c>
      <x:c r="M598" s="45" t="n">
        <x:v>0</x:v>
      </x:c>
      <x:c r="N598" s="33" t="str">
        <x:v>True</x:v>
      </x:c>
      <x:c r="O598" s="45" t="n">
        <x:v>19</x:v>
      </x:c>
    </x:row>
    <x:row r="599">
      <x:c r="A599" s="33" t="str">
        <x:v>XIX</x:v>
      </x:c>
      <x:c r="B599" s="33" t="str">
        <x:v>T80-T88</x:v>
      </x:c>
      <x:c r="C599" s="51" t="str">
        <x:v>Осложнения хирургических и терапевтических вмешательств, не классифицированные в других рубриках</x:v>
      </x:c>
      <x:c r="D599" s="33" t="str">
        <x:v>T88</x:v>
      </x:c>
      <x:c r="E599" s="39" t="n">
        <x:v>2</x:v>
      </x:c>
      <x:c r="F599" s="45" t="n">
        <x:v>73</x:v>
      </x:c>
      <x:c r="G599" s="45" t="n">
        <x:v>71.5</x:v>
      </x:c>
      <x:c r="H599" s="45" t="n">
        <x:v>74.5</x:v>
      </x:c>
      <x:c r="I599" s="45" t="n">
        <x:v>73</x:v>
      </x:c>
      <x:c r="J599" s="45" t="n">
        <x:v>70</x:v>
      </x:c>
      <x:c r="K599" s="45" t="n">
        <x:v>76</x:v>
      </x:c>
      <x:c r="L599" s="51" t="str">
        <x:v>Другие осложнения анестезии</x:v>
      </x:c>
      <x:c r="M599" s="45" t="n">
        <x:v>3</x:v>
      </x:c>
      <x:c r="N599" s="33" t="str">
        <x:v>True</x:v>
      </x:c>
      <x:c r="O599" s="45" t="n">
        <x:v>19</x:v>
      </x:c>
    </x:row>
    <x:row r="600">
      <x:c r="A600" s="33" t="str">
        <x:v>XIX</x:v>
      </x:c>
      <x:c r="B600" s="33" t="str">
        <x:v>T90-T98</x:v>
      </x:c>
      <x:c r="C600" s="51" t="str">
        <x:v>Последствия травм, отравлений и других воздействий внешних причин</x:v>
      </x:c>
      <x:c r="D600" s="33" t="str">
        <x:v>T90</x:v>
      </x:c>
      <x:c r="E600" s="39" t="n">
        <x:v>44</x:v>
      </x:c>
      <x:c r="F600" s="45" t="n">
        <x:v>63</x:v>
      </x:c>
      <x:c r="G600" s="45" t="n">
        <x:v>48.75</x:v>
      </x:c>
      <x:c r="H600" s="45" t="n">
        <x:v>75.25</x:v>
      </x:c>
      <x:c r="I600" s="45" t="n">
        <x:v>61.40909090909091</x:v>
      </x:c>
      <x:c r="J600" s="45" t="n">
        <x:v>26</x:v>
      </x:c>
      <x:c r="K600" s="45" t="n">
        <x:v>90</x:v>
      </x:c>
      <x:c r="L600" s="51" t="str">
        <x:v>Последствия внутричерепной травмы</x:v>
      </x:c>
      <x:c r="M600" s="45" t="n">
        <x:v>26.5</x:v>
      </x:c>
      <x:c r="N600" s="33" t="str">
        <x:v>False</x:v>
      </x:c>
      <x:c r="O600" s="45" t="n">
        <x:v>19</x:v>
      </x:c>
    </x:row>
    <x:row r="601">
      <x:c r="A601" s="33" t="str">
        <x:v>XIX</x:v>
      </x:c>
      <x:c r="B601" s="33" t="str">
        <x:v>T90-T98</x:v>
      </x:c>
      <x:c r="C601" s="51" t="str">
        <x:v>Последствия травм, отравлений и других воздействий внешних причин</x:v>
      </x:c>
      <x:c r="D601" s="33" t="str">
        <x:v>T91</x:v>
      </x:c>
      <x:c r="E601" s="39" t="n">
        <x:v>13</x:v>
      </x:c>
      <x:c r="F601" s="45" t="n">
        <x:v>49</x:v>
      </x:c>
      <x:c r="G601" s="45" t="n">
        <x:v>42</x:v>
      </x:c>
      <x:c r="H601" s="45" t="n">
        <x:v>65</x:v>
      </x:c>
      <x:c r="I601" s="45" t="n">
        <x:v>53.84615384615385</x:v>
      </x:c>
      <x:c r="J601" s="45" t="n">
        <x:v>25</x:v>
      </x:c>
      <x:c r="K601" s="45" t="n">
        <x:v>90</x:v>
      </x:c>
      <x:c r="L601" s="51" t="str">
        <x:v>Последствия перелома позвоночника</x:v>
      </x:c>
      <x:c r="M601" s="45" t="n">
        <x:v>23</x:v>
      </x:c>
      <x:c r="N601" s="33" t="str">
        <x:v>False</x:v>
      </x:c>
      <x:c r="O601" s="45" t="n">
        <x:v>19</x:v>
      </x:c>
    </x:row>
    <x:row r="602">
      <x:c r="A602" s="33" t="str">
        <x:v>XIX</x:v>
      </x:c>
      <x:c r="B602" s="33" t="str">
        <x:v>T90-T98</x:v>
      </x:c>
      <x:c r="C602" s="51" t="str">
        <x:v>Последствия травм, отравлений и других воздействий внешних причин</x:v>
      </x:c>
      <x:c r="D602" s="33" t="str">
        <x:v>T93</x:v>
      </x:c>
      <x:c r="E602" s="39" t="n">
        <x:v>138</x:v>
      </x:c>
      <x:c r="F602" s="45" t="n">
        <x:v>82</x:v>
      </x:c>
      <x:c r="G602" s="45" t="n">
        <x:v>73</x:v>
      </x:c>
      <x:c r="H602" s="45" t="n">
        <x:v>88</x:v>
      </x:c>
      <x:c r="I602" s="45" t="n">
        <x:v>79.92028985507247</x:v>
      </x:c>
      <x:c r="J602" s="45" t="n">
        <x:v>37</x:v>
      </x:c>
      <x:c r="K602" s="45" t="n">
        <x:v>98</x:v>
      </x:c>
      <x:c r="L602" s="51" t="str">
        <x:v>Последствия перелома бедра</x:v>
      </x:c>
      <x:c r="M602" s="45" t="n">
        <x:v>15</x:v>
      </x:c>
      <x:c r="N602" s="33" t="str">
        <x:v>False</x:v>
      </x:c>
      <x:c r="O602" s="45" t="n">
        <x:v>19</x:v>
      </x:c>
    </x:row>
    <x:row r="603">
      <x:c r="A603" s="33" t="str">
        <x:v>XIX</x:v>
      </x:c>
      <x:c r="B603" s="33" t="str">
        <x:v>T90-T98</x:v>
      </x:c>
      <x:c r="C603" s="51" t="str">
        <x:v>Последствия травм, отравлений и других воздействий внешних причин</x:v>
      </x:c>
      <x:c r="D603" s="33" t="str">
        <x:v>T94</x:v>
      </x:c>
      <x:c r="E603" s="39" t="n">
        <x:v>2</x:v>
      </x:c>
      <x:c r="F603" s="45" t="n">
        <x:v>55</x:v>
      </x:c>
      <x:c r="G603" s="45" t="n">
        <x:v>40</x:v>
      </x:c>
      <x:c r="H603" s="45" t="n">
        <x:v>70</x:v>
      </x:c>
      <x:c r="I603" s="45" t="n">
        <x:v>55</x:v>
      </x:c>
      <x:c r="J603" s="45" t="n">
        <x:v>25</x:v>
      </x:c>
      <x:c r="K603" s="45" t="n">
        <x:v>85</x:v>
      </x:c>
      <x:c r="L603" s="51" t="str">
        <x:v>Последствия множественных травм</x:v>
      </x:c>
      <x:c r="M603" s="45" t="n">
        <x:v>30</x:v>
      </x:c>
      <x:c r="N603" s="33" t="str">
        <x:v>True</x:v>
      </x:c>
      <x:c r="O603" s="45" t="n">
        <x:v>19</x:v>
      </x:c>
    </x:row>
    <x:row r="604">
      <x:c r="A604" s="33" t="str">
        <x:v>XIX</x:v>
      </x:c>
      <x:c r="B604" s="33" t="str">
        <x:v>T90-T98</x:v>
      </x:c>
      <x:c r="C604" s="51" t="str">
        <x:v>Последствия травм, отравлений и других воздействий внешних причин</x:v>
      </x:c>
      <x:c r="D604" s="33" t="str">
        <x:v>T98</x:v>
      </x:c>
      <x:c r="E604" s="39" t="n">
        <x:v>2</x:v>
      </x:c>
      <x:c r="F604" s="45" t="n">
        <x:v>56</x:v>
      </x:c>
      <x:c r="G604" s="45" t="n">
        <x:v>41</x:v>
      </x:c>
      <x:c r="H604" s="45" t="n">
        <x:v>71</x:v>
      </x:c>
      <x:c r="I604" s="45" t="n">
        <x:v>56</x:v>
      </x:c>
      <x:c r="J604" s="45" t="n">
        <x:v>26</x:v>
      </x:c>
      <x:c r="K604" s="45" t="n">
        <x:v>86</x:v>
      </x:c>
      <x:c r="L604" s="51" t="str">
        <x:v>Последствия травм других уточненных областей тела</x:v>
      </x:c>
      <x:c r="M604" s="45" t="n">
        <x:v>30</x:v>
      </x:c>
      <x:c r="N604" s="33" t="str">
        <x:v>True</x:v>
      </x:c>
      <x:c r="O604" s="45" t="n">
        <x:v>19</x:v>
      </x:c>
    </x:row>
    <x:row r="605">
      <x:c r="A605" s="34" t="str">
        <x:v>XXII</x:v>
      </x:c>
      <x:c r="B605" s="34" t="str">
        <x:v>U00-U49</x:v>
      </x:c>
      <x:c r="C605" s="52" t="str">
        <x:v>Предварительное назначение новых заболеваний неопределенной этиологии или использования в чрезвычайных ситуациях</x:v>
      </x:c>
      <x:c r="D605" s="34" t="str">
        <x:v>U07</x:v>
      </x:c>
      <x:c r="E605" s="40" t="n">
        <x:v>803</x:v>
      </x:c>
      <x:c r="F605" s="46" t="n">
        <x:v>72</x:v>
      </x:c>
      <x:c r="G605" s="46" t="n">
        <x:v>65</x:v>
      </x:c>
      <x:c r="H605" s="46" t="n">
        <x:v>81</x:v>
      </x:c>
      <x:c r="I605" s="46" t="n">
        <x:v>71.8318804483188</x:v>
      </x:c>
      <x:c r="J605" s="46" t="n">
        <x:v>16</x:v>
      </x:c>
      <x:c r="K605" s="46" t="n">
        <x:v>99</x:v>
      </x:c>
      <x:c r="L605" s="52" t="str">
        <x:v>COVID-19, вирус идентифицирован</x:v>
      </x:c>
      <x:c r="M605" s="46" t="n">
        <x:v>16</x:v>
      </x:c>
      <x:c r="N605" s="34" t="str">
        <x:v>False</x:v>
      </x:c>
      <x:c r="O605" s="46" t="n">
        <x:v>22</x:v>
      </x:c>
    </x:row>
  </x:sheetData>
  <x:conditionalFormatting sqref="N2:N605">
    <x:cfRule type="containsText" dxfId="2" priority="1" operator="containsText" text="TRUE"/>
  </x:conditionalFormatting>
  <x:pageMargins left="0.7" right="0.7" top="0.75" bottom="0.75" header="0.3" footer="0.3"/>
  <x:tableParts count="1">
    <x:tablePart xmlns:r="http://schemas.openxmlformats.org/officeDocument/2006/relationships" r:id="Ra8aa5039976549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8" customHeight="1">
      <x:c r="A1" s="60" t="str">
        <x:v>Возраст смерти по уровням МКБ-10 · Сахалинская область</x:v>
      </x:c>
      <x:c r="B1" s="60"/>
      <x:c r="C1" s="60"/>
      <x:c r="D1" s="60"/>
      <x:c r="E1" s="60"/>
      <x:c r="F1" s="60"/>
    </x:row>
    <x:row r="3">
      <x:c r="A3" s="64" t="str">
        <x:v>Параметр</x:v>
      </x:c>
      <x:c r="B3" s="64" t="str">
        <x:v>Значение</x:v>
      </x:c>
    </x:row>
    <x:row r="4">
      <x:c r="A4" t="str">
        <x:v>Период анализа</x:v>
      </x:c>
      <x:c r="B4" t="str">
        <x:v>2016–2025</x:v>
      </x:c>
    </x:row>
    <x:row r="5">
      <x:c r="A5" t="str">
        <x:v>Единица показателя</x:v>
      </x:c>
      <x:c r="B5" t="str">
        <x:v>Возраст на дату смерти, лет</x:v>
      </x:c>
    </x:row>
    <x:row r="6">
      <x:c r="A6" t="str">
        <x:v>Уровень 2</x:v>
      </x:c>
      <x:c r="B6" t="str">
        <x:v>Крупные диапазоны рубрик МКБ-10</x:v>
      </x:c>
    </x:row>
    <x:row r="7">
      <x:c r="A7" t="str">
        <x:v>Уровень 3</x:v>
      </x:c>
      <x:c r="B7" t="str">
        <x:v>Трёхзначная рубрика МКБ-10</x:v>
      </x:c>
    </x:row>
    <x:row r="9">
      <x:c r="A9" s="64" t="str">
        <x:v>Контроль полноты</x:v>
      </x:c>
      <x:c r="B9" s="64" t="str">
        <x:v>Результат</x:v>
      </x:c>
    </x:row>
    <x:row r="10">
      <x:c r="A10" t="str">
        <x:v>Сумма n по классам</x:v>
      </x:c>
      <x:c r="B10" s="66" t="n">
        <x:f>SUM('Классы'!B2:B100)</x:f>
        <x:v>64662</x:v>
      </x:c>
    </x:row>
    <x:row r="11">
      <x:c r="A11" t="str">
        <x:v>Сумма n по блокам</x:v>
      </x:c>
      <x:c r="B11" s="66" t="n">
        <x:f>SUM('Блоки_уровень2'!D2:D500)</x:f>
        <x:v>64662</x:v>
      </x:c>
    </x:row>
    <x:row r="12">
      <x:c r="A12" t="str">
        <x:v>Сумма n по ICD-3</x:v>
      </x:c>
      <x:c r="B12" s="66" t="n">
        <x:f>SUM('Рубрики_уровень3'!E2:E2000)</x:f>
        <x:v>64662</x:v>
      </x:c>
    </x:row>
    <x:row r="13">
      <x:c r="A13" t="str">
        <x:v>Разница: классы − блоки</x:v>
      </x:c>
      <x:c r="B13" s="66" t="n">
        <x:f>B10-B11</x:f>
        <x:v>0</x:v>
      </x:c>
    </x:row>
    <x:row r="14">
      <x:c r="A14" t="str">
        <x:v>Разница: классы − ICD-3</x:v>
      </x:c>
      <x:c r="B14" s="66" t="n">
        <x:f>B10-B12</x:f>
        <x:v>0</x:v>
      </x:c>
    </x:row>
    <x:row r="15">
      <x:c r="A15" t="str">
        <x:v>Статус</x:v>
      </x:c>
      <x:c r="B15" t="str">
        <x:f>IF(AND(B13=0,B14=0),"Контроль пройден","Проверить данные")</x:f>
        <x:v>Контроль пройден</x:v>
      </x:c>
    </x:row>
    <x:row r="17">
      <x:c r="A17" s="74" t="str">
        <x:v>Как читать ridgeline</x:v>
      </x:c>
      <x:c r="B17" s="74"/>
      <x:c r="C17" s="74"/>
      <x:c r="D17" s="74"/>
      <x:c r="E17" s="74"/>
      <x:c r="F17" s="74"/>
    </x:row>
    <x:row r="18" ht="48" customHeight="1">
      <x:c r="A18" s="70" t="str">
        <x:v>Высота каждого возрастного профиля нормирована отдельно. Сравнивайте положение пиков и форму распределения, но не площадь профилей. Вертикальная риска на графике показывает медиану. Серый профиль означает n&lt;5 и требует осторожной интерпретации.</x:v>
      </x:c>
      <x:c r="B18" s="70"/>
      <x:c r="C18" s="70"/>
      <x:c r="D18" s="70"/>
      <x:c r="E18" s="70"/>
      <x:c r="F18" s="70"/>
    </x:row>
    <x:row r="19">
      <x:c r="A19" s="78" t="str">
        <x:v>Ограничение</x:v>
      </x:c>
      <x:c r="B19" s="78"/>
      <x:c r="C19" s="78"/>
      <x:c r="D19" s="78"/>
      <x:c r="E19" s="78"/>
      <x:c r="F19" s="78"/>
    </x:row>
    <x:row r="20" ht="44" customHeight="1">
      <x:c r="A20" s="70" t="str">
        <x:v>Показатели описывают возраст среди зарегистрированных смертей. Это не возрастные коэффициенты смертности и они не стандартизованы по структуре населения.</x:v>
      </x:c>
      <x:c r="B20" s="70"/>
      <x:c r="C20" s="70"/>
      <x:c r="D20" s="70"/>
      <x:c r="E20" s="70"/>
      <x:c r="F20" s="70"/>
    </x:row>
  </x:sheetData>
  <x:mergeCells>
    <x:mergeCell ref="A1:F1"/>
    <x:mergeCell ref="A17:F17"/>
    <x:mergeCell ref="A18:F18"/>
    <x:mergeCell ref="A19:F19"/>
    <x:mergeCell ref="A20:F20"/>
  </x:mergeCells>
  <x:conditionalFormatting sqref="B15:B15">
    <x:cfRule type="containsText" dxfId="3" priority="1" operator="containsText" text="Контроль пройден"/>
    <x:cfRule type="containsText" dxfId="4" priority="2" operator="containsText" text="Проверить"/>
  </x:conditionalFormatting>
  <x:pageMargins left="0.7" right="0.7" top="0.75" bottom="0.75" header="0.3" footer="0.3"/>
</x:worksheet>
</file>